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13_ncr:1_{FEEA49C4-F308-43DC-BCB9-E5D6F56129D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ERY" sheetId="9" r:id="rId1"/>
    <sheet name="P1" sheetId="4" r:id="rId2"/>
    <sheet name="P2" sheetId="6" r:id="rId3"/>
    <sheet name="P3" sheetId="8" r:id="rId4"/>
  </sheets>
  <definedNames>
    <definedName name="_xlnm.Print_Area" localSheetId="1">'P1'!$A$3:$V$15</definedName>
    <definedName name="_xlnm.Print_Area" localSheetId="2">'P2'!#REF!</definedName>
    <definedName name="_xlnm.Print_Area" localSheetId="3">'P3'!$A$3:$U$15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9" l="1"/>
  <c r="F9" i="9"/>
  <c r="U80" i="8"/>
  <c r="S80" i="8"/>
  <c r="R80" i="8"/>
  <c r="T80" i="8" s="1"/>
  <c r="U74" i="8"/>
  <c r="S74" i="8"/>
  <c r="R74" i="8"/>
  <c r="T74" i="8" s="1"/>
  <c r="U68" i="8"/>
  <c r="S68" i="8"/>
  <c r="R68" i="8"/>
  <c r="T68" i="8" s="1"/>
  <c r="U62" i="8"/>
  <c r="S62" i="8"/>
  <c r="R62" i="8"/>
  <c r="T62" i="8" s="1"/>
  <c r="U56" i="8"/>
  <c r="S56" i="8"/>
  <c r="R56" i="8"/>
  <c r="T56" i="8" s="1"/>
  <c r="U50" i="8"/>
  <c r="S50" i="8"/>
  <c r="R50" i="8"/>
  <c r="T50" i="8" s="1"/>
  <c r="U44" i="8"/>
  <c r="S44" i="8"/>
  <c r="R44" i="8"/>
  <c r="U38" i="8"/>
  <c r="S38" i="8"/>
  <c r="R38" i="8"/>
  <c r="U32" i="8"/>
  <c r="S32" i="8"/>
  <c r="R32" i="8"/>
  <c r="T32" i="8" s="1"/>
  <c r="U26" i="8"/>
  <c r="S26" i="8"/>
  <c r="R26" i="8"/>
  <c r="T26" i="8" s="1"/>
  <c r="R17" i="8"/>
  <c r="S17" i="8"/>
  <c r="U17" i="8"/>
  <c r="R18" i="8"/>
  <c r="T18" i="8" s="1"/>
  <c r="S18" i="8"/>
  <c r="U18" i="8"/>
  <c r="R19" i="8"/>
  <c r="T19" i="8" s="1"/>
  <c r="S19" i="8"/>
  <c r="U19" i="8"/>
  <c r="R20" i="8"/>
  <c r="S20" i="8"/>
  <c r="T20" i="8"/>
  <c r="U20" i="8"/>
  <c r="R29" i="8"/>
  <c r="S29" i="8"/>
  <c r="U29" i="8"/>
  <c r="R30" i="8"/>
  <c r="T30" i="8" s="1"/>
  <c r="S30" i="8"/>
  <c r="U30" i="8"/>
  <c r="R31" i="8"/>
  <c r="T31" i="8" s="1"/>
  <c r="S31" i="8"/>
  <c r="U31" i="8"/>
  <c r="R25" i="6"/>
  <c r="S25" i="6"/>
  <c r="U25" i="6"/>
  <c r="R26" i="6"/>
  <c r="T26" i="6" s="1"/>
  <c r="S26" i="6"/>
  <c r="U26" i="6"/>
  <c r="R19" i="6"/>
  <c r="S19" i="6"/>
  <c r="T19" i="6" s="1"/>
  <c r="U19" i="6"/>
  <c r="R20" i="6"/>
  <c r="T20" i="6" s="1"/>
  <c r="S20" i="6"/>
  <c r="U20" i="6"/>
  <c r="U74" i="4"/>
  <c r="S74" i="4"/>
  <c r="R74" i="4"/>
  <c r="T74" i="4" s="1"/>
  <c r="U110" i="4"/>
  <c r="S110" i="4"/>
  <c r="R110" i="4"/>
  <c r="T110" i="4" s="1"/>
  <c r="U140" i="4"/>
  <c r="S140" i="4"/>
  <c r="R140" i="4"/>
  <c r="U146" i="4"/>
  <c r="S146" i="4"/>
  <c r="R146" i="4"/>
  <c r="U158" i="4"/>
  <c r="S158" i="4"/>
  <c r="R158" i="4"/>
  <c r="U152" i="4"/>
  <c r="S152" i="4"/>
  <c r="R152" i="4"/>
  <c r="U151" i="4"/>
  <c r="S151" i="4"/>
  <c r="R151" i="4"/>
  <c r="U134" i="4"/>
  <c r="S134" i="4"/>
  <c r="R134" i="4"/>
  <c r="U133" i="4"/>
  <c r="S133" i="4"/>
  <c r="R133" i="4"/>
  <c r="U128" i="4"/>
  <c r="S128" i="4"/>
  <c r="R128" i="4"/>
  <c r="U127" i="4"/>
  <c r="S127" i="4"/>
  <c r="R127" i="4"/>
  <c r="U122" i="4"/>
  <c r="S122" i="4"/>
  <c r="R122" i="4"/>
  <c r="U121" i="4"/>
  <c r="S121" i="4"/>
  <c r="R121" i="4"/>
  <c r="U116" i="4"/>
  <c r="S116" i="4"/>
  <c r="R116" i="4"/>
  <c r="U115" i="4"/>
  <c r="S115" i="4"/>
  <c r="R115" i="4"/>
  <c r="U104" i="4"/>
  <c r="S104" i="4"/>
  <c r="R104" i="4"/>
  <c r="U103" i="4"/>
  <c r="S103" i="4"/>
  <c r="R103" i="4"/>
  <c r="U98" i="4"/>
  <c r="S98" i="4"/>
  <c r="R98" i="4"/>
  <c r="U97" i="4"/>
  <c r="S97" i="4"/>
  <c r="R97" i="4"/>
  <c r="U92" i="4"/>
  <c r="S92" i="4"/>
  <c r="R92" i="4"/>
  <c r="U91" i="4"/>
  <c r="S91" i="4"/>
  <c r="R91" i="4"/>
  <c r="U86" i="4"/>
  <c r="S86" i="4"/>
  <c r="R86" i="4"/>
  <c r="U85" i="4"/>
  <c r="S85" i="4"/>
  <c r="R85" i="4"/>
  <c r="U80" i="4"/>
  <c r="S80" i="4"/>
  <c r="R80" i="4"/>
  <c r="U68" i="4"/>
  <c r="S68" i="4"/>
  <c r="R68" i="4"/>
  <c r="U67" i="4"/>
  <c r="S67" i="4"/>
  <c r="R67" i="4"/>
  <c r="U62" i="4"/>
  <c r="S62" i="4"/>
  <c r="R62" i="4"/>
  <c r="U61" i="4"/>
  <c r="S61" i="4"/>
  <c r="R61" i="4"/>
  <c r="U56" i="4"/>
  <c r="S56" i="4"/>
  <c r="R56" i="4"/>
  <c r="U55" i="4"/>
  <c r="S55" i="4"/>
  <c r="R55" i="4"/>
  <c r="U50" i="4"/>
  <c r="S50" i="4"/>
  <c r="R50" i="4"/>
  <c r="U49" i="4"/>
  <c r="S49" i="4"/>
  <c r="R49" i="4"/>
  <c r="U44" i="4"/>
  <c r="S44" i="4"/>
  <c r="R44" i="4"/>
  <c r="U43" i="4"/>
  <c r="S43" i="4"/>
  <c r="R43" i="4"/>
  <c r="U38" i="4"/>
  <c r="S38" i="4"/>
  <c r="R38" i="4"/>
  <c r="U37" i="4"/>
  <c r="S37" i="4"/>
  <c r="R37" i="4"/>
  <c r="U32" i="4"/>
  <c r="S32" i="4"/>
  <c r="R32" i="4"/>
  <c r="U31" i="4"/>
  <c r="S31" i="4"/>
  <c r="R31" i="4"/>
  <c r="R34" i="4"/>
  <c r="T34" i="4" s="1"/>
  <c r="U34" i="4"/>
  <c r="R40" i="4"/>
  <c r="T40" i="4" s="1"/>
  <c r="U40" i="4"/>
  <c r="R46" i="4"/>
  <c r="T46" i="4" s="1"/>
  <c r="U46" i="4"/>
  <c r="R52" i="4"/>
  <c r="T52" i="4" s="1"/>
  <c r="U52" i="4"/>
  <c r="R58" i="4"/>
  <c r="T58" i="4" s="1"/>
  <c r="U58" i="4"/>
  <c r="R64" i="4"/>
  <c r="T64" i="4" s="1"/>
  <c r="U64" i="4"/>
  <c r="R70" i="4"/>
  <c r="T70" i="4" s="1"/>
  <c r="U70" i="4"/>
  <c r="U26" i="4"/>
  <c r="S26" i="4"/>
  <c r="R26" i="4"/>
  <c r="U25" i="4"/>
  <c r="S25" i="4"/>
  <c r="R25" i="4"/>
  <c r="S17" i="4"/>
  <c r="U17" i="4"/>
  <c r="S18" i="4"/>
  <c r="U18" i="4"/>
  <c r="S19" i="4"/>
  <c r="U19" i="4"/>
  <c r="S20" i="4"/>
  <c r="U20" i="4"/>
  <c r="R17" i="4"/>
  <c r="R18" i="4"/>
  <c r="R19" i="4"/>
  <c r="R20" i="4"/>
  <c r="U139" i="4"/>
  <c r="U109" i="4"/>
  <c r="U78" i="8"/>
  <c r="S78" i="8"/>
  <c r="R78" i="8"/>
  <c r="U77" i="8"/>
  <c r="S77" i="8"/>
  <c r="R77" i="8"/>
  <c r="U76" i="8"/>
  <c r="S76" i="8"/>
  <c r="R76" i="8"/>
  <c r="U72" i="8"/>
  <c r="S72" i="8"/>
  <c r="R72" i="8"/>
  <c r="U71" i="8"/>
  <c r="S71" i="8"/>
  <c r="R71" i="8"/>
  <c r="U70" i="8"/>
  <c r="S70" i="8"/>
  <c r="R70" i="8"/>
  <c r="U66" i="8"/>
  <c r="S66" i="8"/>
  <c r="R66" i="8"/>
  <c r="U65" i="8"/>
  <c r="S65" i="8"/>
  <c r="R65" i="8"/>
  <c r="T65" i="8" s="1"/>
  <c r="U64" i="8"/>
  <c r="S64" i="8"/>
  <c r="R64" i="8"/>
  <c r="T64" i="8" s="1"/>
  <c r="U60" i="8"/>
  <c r="S60" i="8"/>
  <c r="R60" i="8"/>
  <c r="U59" i="8"/>
  <c r="S59" i="8"/>
  <c r="R59" i="8"/>
  <c r="U58" i="8"/>
  <c r="S58" i="8"/>
  <c r="R58" i="8"/>
  <c r="U54" i="8"/>
  <c r="S54" i="8"/>
  <c r="R54" i="8"/>
  <c r="U53" i="8"/>
  <c r="S53" i="8"/>
  <c r="R53" i="8"/>
  <c r="U52" i="8"/>
  <c r="S52" i="8"/>
  <c r="R52" i="8"/>
  <c r="U48" i="8"/>
  <c r="S48" i="8"/>
  <c r="R48" i="8"/>
  <c r="T48" i="8" s="1"/>
  <c r="U47" i="8"/>
  <c r="S47" i="8"/>
  <c r="R47" i="8"/>
  <c r="U46" i="8"/>
  <c r="S46" i="8"/>
  <c r="R46" i="8"/>
  <c r="U42" i="8"/>
  <c r="S42" i="8"/>
  <c r="R42" i="8"/>
  <c r="U41" i="8"/>
  <c r="S41" i="8"/>
  <c r="R41" i="8"/>
  <c r="U40" i="8"/>
  <c r="S40" i="8"/>
  <c r="R40" i="8"/>
  <c r="T40" i="8" s="1"/>
  <c r="U36" i="8"/>
  <c r="S36" i="8"/>
  <c r="R36" i="8"/>
  <c r="T36" i="8" s="1"/>
  <c r="U35" i="8"/>
  <c r="S35" i="8"/>
  <c r="R35" i="8"/>
  <c r="U34" i="8"/>
  <c r="S34" i="8"/>
  <c r="R34" i="8"/>
  <c r="T34" i="8" s="1"/>
  <c r="U28" i="8"/>
  <c r="S28" i="8"/>
  <c r="R28" i="8"/>
  <c r="U24" i="8"/>
  <c r="S24" i="8"/>
  <c r="R24" i="8"/>
  <c r="U23" i="8"/>
  <c r="S23" i="8"/>
  <c r="R23" i="8"/>
  <c r="U22" i="8"/>
  <c r="S22" i="8"/>
  <c r="R22" i="8"/>
  <c r="U16" i="8"/>
  <c r="S16" i="8"/>
  <c r="R16" i="8"/>
  <c r="U24" i="6"/>
  <c r="S24" i="6"/>
  <c r="R24" i="6"/>
  <c r="U23" i="6"/>
  <c r="S23" i="6"/>
  <c r="R23" i="6"/>
  <c r="T23" i="6" s="1"/>
  <c r="U22" i="6"/>
  <c r="S22" i="6"/>
  <c r="R22" i="6"/>
  <c r="T22" i="6" s="1"/>
  <c r="U18" i="6"/>
  <c r="S18" i="6"/>
  <c r="R18" i="6"/>
  <c r="U17" i="6"/>
  <c r="S17" i="6"/>
  <c r="R17" i="6"/>
  <c r="U16" i="6"/>
  <c r="S16" i="6"/>
  <c r="R16" i="6"/>
  <c r="R145" i="4"/>
  <c r="R144" i="4"/>
  <c r="T144" i="4" s="1"/>
  <c r="R143" i="4"/>
  <c r="T143" i="4" s="1"/>
  <c r="R142" i="4"/>
  <c r="T142" i="4" s="1"/>
  <c r="R139" i="4"/>
  <c r="R138" i="4"/>
  <c r="T138" i="4" s="1"/>
  <c r="R137" i="4"/>
  <c r="T137" i="4" s="1"/>
  <c r="R136" i="4"/>
  <c r="T136" i="4" s="1"/>
  <c r="R132" i="4"/>
  <c r="T132" i="4" s="1"/>
  <c r="R131" i="4"/>
  <c r="T131" i="4" s="1"/>
  <c r="R130" i="4"/>
  <c r="T130" i="4" s="1"/>
  <c r="R126" i="4"/>
  <c r="T126" i="4" s="1"/>
  <c r="R125" i="4"/>
  <c r="T125" i="4" s="1"/>
  <c r="R124" i="4"/>
  <c r="T124" i="4" s="1"/>
  <c r="R120" i="4"/>
  <c r="T120" i="4" s="1"/>
  <c r="R119" i="4"/>
  <c r="T119" i="4" s="1"/>
  <c r="R118" i="4"/>
  <c r="T118" i="4" s="1"/>
  <c r="R114" i="4"/>
  <c r="T114" i="4" s="1"/>
  <c r="R113" i="4"/>
  <c r="T113" i="4" s="1"/>
  <c r="R112" i="4"/>
  <c r="T112" i="4" s="1"/>
  <c r="R109" i="4"/>
  <c r="T109" i="4" s="1"/>
  <c r="R108" i="4"/>
  <c r="T108" i="4" s="1"/>
  <c r="R107" i="4"/>
  <c r="T107" i="4" s="1"/>
  <c r="R106" i="4"/>
  <c r="T106" i="4" s="1"/>
  <c r="R102" i="4"/>
  <c r="T102" i="4" s="1"/>
  <c r="R101" i="4"/>
  <c r="T101" i="4" s="1"/>
  <c r="R100" i="4"/>
  <c r="T100" i="4" s="1"/>
  <c r="R96" i="4"/>
  <c r="T96" i="4" s="1"/>
  <c r="R95" i="4"/>
  <c r="T95" i="4" s="1"/>
  <c r="R94" i="4"/>
  <c r="T94" i="4" s="1"/>
  <c r="R90" i="4"/>
  <c r="T90" i="4" s="1"/>
  <c r="R89" i="4"/>
  <c r="T89" i="4" s="1"/>
  <c r="R88" i="4"/>
  <c r="T88" i="4" s="1"/>
  <c r="R84" i="4"/>
  <c r="T84" i="4" s="1"/>
  <c r="R83" i="4"/>
  <c r="T83" i="4" s="1"/>
  <c r="R82" i="4"/>
  <c r="T82" i="4" s="1"/>
  <c r="R79" i="4"/>
  <c r="R78" i="4"/>
  <c r="T78" i="4" s="1"/>
  <c r="R77" i="4"/>
  <c r="T77" i="4" s="1"/>
  <c r="R76" i="4"/>
  <c r="T76" i="4" s="1"/>
  <c r="R73" i="4"/>
  <c r="R72" i="4"/>
  <c r="T72" i="4" s="1"/>
  <c r="R71" i="4"/>
  <c r="T71" i="4" s="1"/>
  <c r="R66" i="4"/>
  <c r="T66" i="4" s="1"/>
  <c r="R65" i="4"/>
  <c r="T65" i="4" s="1"/>
  <c r="R60" i="4"/>
  <c r="T60" i="4" s="1"/>
  <c r="R59" i="4"/>
  <c r="T59" i="4" s="1"/>
  <c r="R54" i="4"/>
  <c r="T54" i="4" s="1"/>
  <c r="R53" i="4"/>
  <c r="T53" i="4" s="1"/>
  <c r="R48" i="4"/>
  <c r="T48" i="4" s="1"/>
  <c r="R47" i="4"/>
  <c r="T47" i="4" s="1"/>
  <c r="R42" i="4"/>
  <c r="T42" i="4" s="1"/>
  <c r="R41" i="4"/>
  <c r="T41" i="4" s="1"/>
  <c r="R36" i="4"/>
  <c r="T36" i="4" s="1"/>
  <c r="R35" i="4"/>
  <c r="T35" i="4" s="1"/>
  <c r="R30" i="4"/>
  <c r="T30" i="4" s="1"/>
  <c r="R29" i="4"/>
  <c r="T29" i="4" s="1"/>
  <c r="R28" i="4"/>
  <c r="T28" i="4" s="1"/>
  <c r="R24" i="4"/>
  <c r="T24" i="4" s="1"/>
  <c r="R23" i="4"/>
  <c r="T23" i="4" s="1"/>
  <c r="R22" i="4"/>
  <c r="T22" i="4" s="1"/>
  <c r="U156" i="4"/>
  <c r="U155" i="4"/>
  <c r="U154" i="4"/>
  <c r="U150" i="4"/>
  <c r="U149" i="4"/>
  <c r="U148" i="4"/>
  <c r="U144" i="4"/>
  <c r="U143" i="4"/>
  <c r="U142" i="4"/>
  <c r="U138" i="4"/>
  <c r="U137" i="4"/>
  <c r="U136" i="4"/>
  <c r="U132" i="4"/>
  <c r="U131" i="4"/>
  <c r="U130" i="4"/>
  <c r="U126" i="4"/>
  <c r="U125" i="4"/>
  <c r="U124" i="4"/>
  <c r="U120" i="4"/>
  <c r="U119" i="4"/>
  <c r="U118" i="4"/>
  <c r="U114" i="4"/>
  <c r="U113" i="4"/>
  <c r="U112" i="4"/>
  <c r="U108" i="4"/>
  <c r="U107" i="4"/>
  <c r="U106" i="4"/>
  <c r="U102" i="4"/>
  <c r="U101" i="4"/>
  <c r="U100" i="4"/>
  <c r="U96" i="4"/>
  <c r="U95" i="4"/>
  <c r="U94" i="4"/>
  <c r="U90" i="4"/>
  <c r="U89" i="4"/>
  <c r="U88" i="4"/>
  <c r="U84" i="4"/>
  <c r="U83" i="4"/>
  <c r="U82" i="4"/>
  <c r="U78" i="4"/>
  <c r="U77" i="4"/>
  <c r="U76" i="4"/>
  <c r="U72" i="4"/>
  <c r="U71" i="4"/>
  <c r="U66" i="4"/>
  <c r="U65" i="4"/>
  <c r="U60" i="4"/>
  <c r="U59" i="4"/>
  <c r="U54" i="4"/>
  <c r="U53" i="4"/>
  <c r="U48" i="4"/>
  <c r="U47" i="4"/>
  <c r="U42" i="4"/>
  <c r="U41" i="4"/>
  <c r="U36" i="4"/>
  <c r="U35" i="4"/>
  <c r="U30" i="4"/>
  <c r="U29" i="4"/>
  <c r="U28" i="4"/>
  <c r="U24" i="4"/>
  <c r="U23" i="4"/>
  <c r="U22" i="4"/>
  <c r="R155" i="4"/>
  <c r="T155" i="4" s="1"/>
  <c r="R156" i="4"/>
  <c r="T156" i="4" s="1"/>
  <c r="R157" i="4"/>
  <c r="R149" i="4"/>
  <c r="T149" i="4" s="1"/>
  <c r="R150" i="4"/>
  <c r="T150" i="4" s="1"/>
  <c r="U16" i="4"/>
  <c r="S16" i="4"/>
  <c r="T58" i="8" l="1"/>
  <c r="T23" i="8"/>
  <c r="T42" i="8"/>
  <c r="T17" i="8"/>
  <c r="T38" i="8"/>
  <c r="T44" i="8"/>
  <c r="T24" i="6"/>
  <c r="T25" i="6"/>
  <c r="T140" i="4"/>
  <c r="T52" i="8"/>
  <c r="T60" i="8"/>
  <c r="T71" i="8"/>
  <c r="T77" i="8"/>
  <c r="T76" i="8"/>
  <c r="T29" i="8"/>
  <c r="T24" i="8"/>
  <c r="T53" i="8"/>
  <c r="T66" i="8"/>
  <c r="T72" i="8"/>
  <c r="T41" i="8"/>
  <c r="T47" i="8"/>
  <c r="T78" i="8"/>
  <c r="T22" i="8"/>
  <c r="T35" i="8"/>
  <c r="T54" i="8"/>
  <c r="T18" i="6"/>
  <c r="T133" i="4"/>
  <c r="T158" i="4"/>
  <c r="T128" i="4"/>
  <c r="T152" i="4"/>
  <c r="T146" i="4"/>
  <c r="T134" i="4"/>
  <c r="T151" i="4"/>
  <c r="T116" i="4"/>
  <c r="T91" i="4"/>
  <c r="T121" i="4"/>
  <c r="T127" i="4"/>
  <c r="T122" i="4"/>
  <c r="T103" i="4"/>
  <c r="T104" i="4"/>
  <c r="T86" i="4"/>
  <c r="T97" i="4"/>
  <c r="T80" i="4"/>
  <c r="T115" i="4"/>
  <c r="T85" i="4"/>
  <c r="T98" i="4"/>
  <c r="T92" i="4"/>
  <c r="T61" i="4"/>
  <c r="T55" i="4"/>
  <c r="T68" i="4"/>
  <c r="T49" i="4"/>
  <c r="T62" i="4"/>
  <c r="T56" i="4"/>
  <c r="T50" i="4"/>
  <c r="T67" i="4"/>
  <c r="T37" i="4"/>
  <c r="T43" i="4"/>
  <c r="T44" i="4"/>
  <c r="T38" i="4"/>
  <c r="T32" i="4"/>
  <c r="T19" i="4"/>
  <c r="T26" i="4"/>
  <c r="T31" i="4"/>
  <c r="T20" i="4"/>
  <c r="T18" i="4"/>
  <c r="T17" i="4"/>
  <c r="T25" i="4"/>
  <c r="T70" i="8"/>
  <c r="T59" i="8"/>
  <c r="T46" i="8"/>
  <c r="T28" i="8"/>
  <c r="T16" i="8"/>
  <c r="T17" i="6"/>
  <c r="T16" i="6"/>
  <c r="R154" i="4" l="1"/>
  <c r="T154" i="4" s="1"/>
  <c r="R148" i="4"/>
  <c r="T148" i="4" s="1"/>
  <c r="R16" i="4"/>
  <c r="T16" i="4" l="1"/>
</calcChain>
</file>

<file path=xl/sharedStrings.xml><?xml version="1.0" encoding="utf-8"?>
<sst xmlns="http://schemas.openxmlformats.org/spreadsheetml/2006/main" count="505" uniqueCount="174">
  <si>
    <t>DESCRIPTION</t>
  </si>
  <si>
    <t>SI.NO</t>
  </si>
  <si>
    <t>P/NO</t>
  </si>
  <si>
    <t>BLANK. SIZE</t>
  </si>
  <si>
    <t>OP-</t>
  </si>
  <si>
    <t>L</t>
  </si>
  <si>
    <t>W</t>
  </si>
  <si>
    <t>H</t>
  </si>
  <si>
    <t>TOOL TYPE</t>
  </si>
  <si>
    <t>P/NAME</t>
  </si>
  <si>
    <t>PART IMAGE</t>
  </si>
  <si>
    <t>TOTAL EIGHT</t>
  </si>
  <si>
    <t>W.F</t>
  </si>
  <si>
    <t>TOOL WEIGHT</t>
  </si>
  <si>
    <t>RATE</t>
  </si>
  <si>
    <t>10</t>
  </si>
  <si>
    <t>QUOTATION</t>
  </si>
  <si>
    <t>To,</t>
  </si>
  <si>
    <t>DATE:</t>
  </si>
  <si>
    <t>QUOTE NO :</t>
  </si>
  <si>
    <t xml:space="preserve">OPERATION : </t>
  </si>
  <si>
    <t>PROJECT NAME:</t>
  </si>
  <si>
    <t>NOTE:</t>
  </si>
  <si>
    <t>DIE STEEL CONSIDER D2 IMP WITH VHT</t>
  </si>
  <si>
    <t>STANDARDS FROM MISUMI</t>
  </si>
  <si>
    <t>STRIP SIZE AND PITCH MAY VARY AT THE TIME OF DESIGN</t>
  </si>
  <si>
    <t>PART WILL BE PROVED AS PER CHECKING GAGUE</t>
  </si>
  <si>
    <t>NO SPARES ARE CONSIDER</t>
  </si>
  <si>
    <t>FRIEGHT at your end</t>
  </si>
  <si>
    <t>Govt Taxes as applicable extra</t>
  </si>
  <si>
    <t>OTHER TERMS AND CONDITIONS:</t>
  </si>
  <si>
    <t>DELIVERY:</t>
  </si>
  <si>
    <t xml:space="preserve">COMP. SIZE  </t>
  </si>
  <si>
    <t>LEN</t>
  </si>
  <si>
    <t>WID</t>
  </si>
  <si>
    <t>HEI</t>
  </si>
  <si>
    <t>THI</t>
  </si>
  <si>
    <t>TOTAL</t>
  </si>
  <si>
    <t>DIE SIZE</t>
  </si>
  <si>
    <t>COMPLETE 2D AMD 3D DATA REQUIRED ALONG WITH PO.</t>
  </si>
  <si>
    <t>FOR TOOL TRAILS AND SAMPLES REQUIRED MATERIALS TO BE SUPPLIED BY CUSTOMER.</t>
  </si>
  <si>
    <t>Payment Terms: 50 %+GST with PO,40%+FULL GST  after t0 sample submission, balance 10 % after PPAP.</t>
  </si>
  <si>
    <t>PACKING AND FORWORDING EXTRA AT ACTUALS.</t>
  </si>
  <si>
    <t>PLATE</t>
  </si>
  <si>
    <t>jai sai GEOMETRIC</t>
  </si>
  <si>
    <t>GST NO: 33AAKFJ6093J1Z0</t>
  </si>
  <si>
    <t>N0:105-B, Mhathma Gandhi 3rd Street,TASS Industrial Estate,Ambattur,Chennai-600095</t>
  </si>
  <si>
    <t>E-mail:jaisaigeometric@gmail.com Cell no:6382206339, GSTIN No.: 33AAKFJ6093J1Z0</t>
  </si>
  <si>
    <t>Grand Total</t>
  </si>
  <si>
    <t>10 WEEKS AFTER design approve/complete.</t>
  </si>
  <si>
    <t>L13507103S01</t>
  </si>
  <si>
    <t>TOOTHED PLATE</t>
  </si>
  <si>
    <t>L13507006S</t>
  </si>
  <si>
    <t>BACKREST
BRACKET-LH</t>
  </si>
  <si>
    <t>BACKREST
BRACKET-RH</t>
  </si>
  <si>
    <t>L BRACKET-CRAWLER IT4</t>
  </si>
  <si>
    <t>H15503046S01</t>
  </si>
  <si>
    <t>BOTTOM PLATE -AIR SUSP</t>
  </si>
  <si>
    <t>F15219090S01</t>
  </si>
  <si>
    <t>MTG BRKT</t>
  </si>
  <si>
    <t>CONN. TUBE</t>
  </si>
  <si>
    <t>F15219098T01</t>
  </si>
  <si>
    <t>H15503226S01</t>
  </si>
  <si>
    <t>H15503236T01</t>
  </si>
  <si>
    <t>CONN TUBE</t>
  </si>
  <si>
    <t>H16201007S01</t>
  </si>
  <si>
    <t>Sliderail Mtg Brkt - AL Sunshine</t>
  </si>
  <si>
    <t>K18222005S01</t>
  </si>
  <si>
    <t>1</t>
  </si>
  <si>
    <t>MTG BKT</t>
  </si>
  <si>
    <t>H15501042S01</t>
  </si>
  <si>
    <t>B/R CONNECTING TUBE-TOP</t>
  </si>
  <si>
    <t>H15501050T01</t>
  </si>
  <si>
    <t>L13507007S01</t>
  </si>
  <si>
    <t>LIMIT SWITCH MTG BKT</t>
  </si>
  <si>
    <t>F15220051S01</t>
  </si>
  <si>
    <t>LIMIT SWITCH SENSOR</t>
  </si>
  <si>
    <t>F15220052S01</t>
  </si>
  <si>
    <t>PIVOT SUPPORT PLATE</t>
  </si>
  <si>
    <t>A11619006S01</t>
  </si>
  <si>
    <t>HINGE TUBE</t>
  </si>
  <si>
    <t>A11619005T01</t>
  </si>
  <si>
    <t>BELT MTG BRKT LH &amp; RH</t>
  </si>
  <si>
    <t>A11602062S01</t>
  </si>
  <si>
    <t>BASE PLATE CT</t>
  </si>
  <si>
    <t>A11602061S01</t>
  </si>
  <si>
    <t>SLIDING TOOTHED BKT</t>
  </si>
  <si>
    <t>F12104125S01</t>
  </si>
  <si>
    <t>STOPPER ROD</t>
  </si>
  <si>
    <t>F12104151W01</t>
  </si>
  <si>
    <t>MOUNTING ANGLE</t>
  </si>
  <si>
    <t>L13507033S01</t>
  </si>
  <si>
    <t>CONNECTING TUBE</t>
  </si>
  <si>
    <t>L13507036T01</t>
  </si>
  <si>
    <t>REINFORCEMENT ROD-SIDE</t>
  </si>
  <si>
    <t>L13507037W01</t>
  </si>
  <si>
    <t>Z BKT-LH</t>
  </si>
  <si>
    <t>L13507041S01</t>
  </si>
  <si>
    <t>20</t>
  </si>
  <si>
    <t>CONN TUBE BOTTOM MTG</t>
  </si>
  <si>
    <t>H16101004T01</t>
  </si>
  <si>
    <t>MOUNTING TUBE CTTP</t>
  </si>
  <si>
    <t>H16101005T01</t>
  </si>
  <si>
    <t>CONN TUBE SLIDERAIL MTG</t>
  </si>
  <si>
    <t>H16101006T01</t>
  </si>
  <si>
    <t>MOUNTING BKT LH</t>
  </si>
  <si>
    <t>L12205049S01</t>
  </si>
  <si>
    <t>FRAME PART RH</t>
  </si>
  <si>
    <t>F12104116S01</t>
  </si>
  <si>
    <t>HINGE BKT</t>
  </si>
  <si>
    <t>F12104120S01</t>
  </si>
  <si>
    <t>BRACKET</t>
  </si>
  <si>
    <t>F12104121S01</t>
  </si>
  <si>
    <t>SIDE BKT</t>
  </si>
  <si>
    <t>F12104122S01</t>
  </si>
  <si>
    <t>CONNECTING ROD</t>
  </si>
  <si>
    <t>F12104145W01</t>
  </si>
  <si>
    <t>FRAME PART LH</t>
  </si>
  <si>
    <t>F12104152S01</t>
  </si>
  <si>
    <t>HT ADJ LEVE REAR - PASSIVE</t>
  </si>
  <si>
    <t>F12104166W01</t>
  </si>
  <si>
    <t>HT ADJ LEVER REAR-ACTIVE</t>
  </si>
  <si>
    <t>F12104167W01</t>
  </si>
  <si>
    <t>ACTUATOR PIN</t>
  </si>
  <si>
    <t>F12104225W01</t>
  </si>
  <si>
    <r>
      <rPr>
        <b/>
        <sz val="18"/>
        <color theme="1"/>
        <rFont val="Calibri"/>
        <family val="2"/>
      </rPr>
      <t>ø</t>
    </r>
    <r>
      <rPr>
        <b/>
        <sz val="18"/>
        <color theme="1"/>
        <rFont val="Calibri"/>
        <family val="2"/>
        <scheme val="minor"/>
      </rPr>
      <t>10</t>
    </r>
  </si>
  <si>
    <t>ø6</t>
  </si>
  <si>
    <r>
      <rPr>
        <b/>
        <sz val="18"/>
        <color theme="1"/>
        <rFont val="Calibri"/>
        <family val="2"/>
      </rPr>
      <t>ø</t>
    </r>
    <r>
      <rPr>
        <b/>
        <sz val="18"/>
        <color theme="1"/>
        <rFont val="Calibri"/>
        <family val="2"/>
        <scheme val="minor"/>
      </rPr>
      <t>8</t>
    </r>
  </si>
  <si>
    <t>BLANK &amp; PIERCING</t>
  </si>
  <si>
    <t>FORMING</t>
  </si>
  <si>
    <t>BLANKING</t>
  </si>
  <si>
    <t>30</t>
  </si>
  <si>
    <t>PIERCING &amp; CAM PIERCING</t>
  </si>
  <si>
    <t>BLANKING COMMON WITH RH</t>
  </si>
  <si>
    <t>PIERCING &amp; COINING</t>
  </si>
  <si>
    <t>FORM 1</t>
  </si>
  <si>
    <t>FORM 2</t>
  </si>
  <si>
    <t>BENDING TOOL</t>
  </si>
  <si>
    <t>PIERCING</t>
  </si>
  <si>
    <t>40</t>
  </si>
  <si>
    <t>PRE-FORM &amp; CURLING</t>
  </si>
  <si>
    <t>COMMON WITH RH</t>
  </si>
  <si>
    <t>CF</t>
  </si>
  <si>
    <t>CF(4 NOS)</t>
  </si>
  <si>
    <t>PRIORITY 1</t>
  </si>
  <si>
    <t>PRIORITY 2</t>
  </si>
  <si>
    <t>PRIORITY 3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</si>
  <si>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</si>
  <si>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</si>
  <si>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</si>
  <si>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</si>
  <si>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</si>
  <si>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</si>
  <si>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</si>
  <si>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</si>
  <si>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</si>
  <si>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</si>
  <si>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</si>
  <si>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</si>
  <si>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</si>
  <si>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</si>
  <si>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</si>
  <si>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</si>
  <si>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</si>
  <si>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</si>
  <si>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</si>
  <si>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</si>
  <si>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</si>
  <si>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NO.OF PARTS</t>
  </si>
  <si>
    <t>NO.OF TOOLS</t>
  </si>
  <si>
    <t>PIERCING &amp; LANCING</t>
  </si>
  <si>
    <t>KIND ATTN: Mr. KATHIRAVAN</t>
  </si>
  <si>
    <t>M/S. HARITHA SEATING SYSTEMS LTD</t>
  </si>
  <si>
    <t>HOSUR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</si>
</sst>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Verdana"/>
      <family val="2"/>
    </font>
    <font>
      <sz val="12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3"/>
      <charset val="129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34"/>
    </font>
    <font>
      <b/>
      <u/>
      <sz val="18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u/>
      <sz val="28"/>
      <color indexed="8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indexed="8"/>
      <name val="Calibri"/>
      <family val="2"/>
    </font>
    <font>
      <b/>
      <u/>
      <sz val="20"/>
      <color indexed="8"/>
      <name val="Arial"/>
      <family val="2"/>
    </font>
    <font>
      <b/>
      <sz val="26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i/>
      <sz val="22"/>
      <name val="Times New Roman"/>
      <family val="1"/>
    </font>
    <font>
      <sz val="28"/>
      <color indexed="8"/>
      <name val="Verdana"/>
      <family val="2"/>
    </font>
    <font>
      <b/>
      <sz val="72"/>
      <color rgb="FF92D050"/>
      <name val="Copperplate Gothic Bold"/>
      <family val="2"/>
    </font>
    <font>
      <b/>
      <sz val="16"/>
      <name val="Arial"/>
      <family val="2"/>
    </font>
    <font>
      <b/>
      <sz val="16"/>
      <color indexed="8"/>
      <name val="Verdana"/>
      <family val="2"/>
    </font>
    <font>
      <b/>
      <sz val="18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6" fillId="0" borderId="0">
      <alignment vertical="center"/>
    </xf>
    <xf numFmtId="0" fontId="8" fillId="0" borderId="0">
      <alignment vertical="center"/>
    </xf>
  </cellStyleXfs>
  <cellXfs count="217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5" fillId="0" borderId="0" xfId="0" applyFont="1" applyBorder="1"/>
    <xf numFmtId="0" fontId="4" fillId="3" borderId="5" xfId="0" applyFont="1" applyFill="1" applyBorder="1"/>
    <xf numFmtId="0" fontId="10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/>
    <xf numFmtId="0" fontId="10" fillId="3" borderId="0" xfId="0" applyFont="1" applyFill="1" applyBorder="1"/>
    <xf numFmtId="0" fontId="10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left"/>
    </xf>
    <xf numFmtId="0" fontId="14" fillId="3" borderId="0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vertical="center"/>
    </xf>
    <xf numFmtId="0" fontId="18" fillId="3" borderId="0" xfId="0" applyFont="1" applyFill="1" applyBorder="1" applyAlignment="1">
      <alignment horizontal="left"/>
    </xf>
    <xf numFmtId="0" fontId="18" fillId="3" borderId="13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18" fillId="3" borderId="0" xfId="0" applyFont="1" applyFill="1" applyBorder="1" applyAlignment="1"/>
    <xf numFmtId="0" fontId="18" fillId="3" borderId="13" xfId="0" applyFont="1" applyFill="1" applyBorder="1" applyAlignment="1"/>
    <xf numFmtId="0" fontId="12" fillId="3" borderId="0" xfId="0" applyFont="1" applyFill="1" applyBorder="1" applyAlignment="1"/>
    <xf numFmtId="0" fontId="20" fillId="3" borderId="0" xfId="0" applyFont="1" applyFill="1" applyBorder="1" applyAlignment="1">
      <alignment horizontal="center" vertical="center" wrapText="1"/>
    </xf>
    <xf numFmtId="9" fontId="14" fillId="0" borderId="8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8" fillId="3" borderId="5" xfId="0" applyFont="1" applyFill="1" applyBorder="1" applyAlignment="1"/>
    <xf numFmtId="49" fontId="24" fillId="5" borderId="6" xfId="0" applyNumberFormat="1" applyFont="1" applyFill="1" applyBorder="1" applyAlignment="1">
      <alignment vertical="center" wrapText="1"/>
    </xf>
    <xf numFmtId="49" fontId="24" fillId="5" borderId="7" xfId="0" applyNumberFormat="1" applyFont="1" applyFill="1" applyBorder="1" applyAlignment="1">
      <alignment vertical="center" wrapText="1"/>
    </xf>
    <xf numFmtId="0" fontId="25" fillId="5" borderId="7" xfId="0" applyFont="1" applyFill="1" applyBorder="1" applyAlignment="1">
      <alignment vertical="center" wrapText="1"/>
    </xf>
    <xf numFmtId="49" fontId="24" fillId="5" borderId="8" xfId="0" applyNumberFormat="1" applyFont="1" applyFill="1" applyBorder="1" applyAlignment="1">
      <alignment vertical="center" wrapText="1"/>
    </xf>
    <xf numFmtId="49" fontId="24" fillId="5" borderId="9" xfId="0" applyNumberFormat="1" applyFont="1" applyFill="1" applyBorder="1" applyAlignment="1">
      <alignment vertical="center" wrapText="1"/>
    </xf>
    <xf numFmtId="49" fontId="24" fillId="5" borderId="30" xfId="0" applyNumberFormat="1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vertical="center" wrapText="1"/>
    </xf>
    <xf numFmtId="49" fontId="24" fillId="5" borderId="9" xfId="0" applyNumberFormat="1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 wrapText="1"/>
    </xf>
    <xf numFmtId="0" fontId="17" fillId="2" borderId="24" xfId="4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center" vertical="center"/>
    </xf>
    <xf numFmtId="0" fontId="5" fillId="2" borderId="0" xfId="0" applyFont="1" applyFill="1"/>
    <xf numFmtId="0" fontId="14" fillId="2" borderId="23" xfId="0" applyFont="1" applyFill="1" applyBorder="1" applyAlignment="1">
      <alignment horizontal="center" vertical="center"/>
    </xf>
    <xf numFmtId="49" fontId="16" fillId="2" borderId="21" xfId="0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left" vertical="center" wrapText="1"/>
    </xf>
    <xf numFmtId="0" fontId="17" fillId="2" borderId="1" xfId="4" applyFont="1" applyFill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vertical="center" wrapText="1"/>
    </xf>
    <xf numFmtId="0" fontId="19" fillId="2" borderId="9" xfId="4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center" vertical="center"/>
    </xf>
    <xf numFmtId="0" fontId="17" fillId="2" borderId="8" xfId="4" applyFont="1" applyFill="1" applyBorder="1" applyAlignment="1">
      <alignment horizontal="center" vertical="center" wrapText="1"/>
    </xf>
    <xf numFmtId="9" fontId="14" fillId="2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 wrapText="1"/>
    </xf>
    <xf numFmtId="0" fontId="17" fillId="0" borderId="24" xfId="4" applyFont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/>
    </xf>
    <xf numFmtId="9" fontId="14" fillId="0" borderId="24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 wrapText="1"/>
    </xf>
    <xf numFmtId="0" fontId="17" fillId="0" borderId="1" xfId="4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 wrapText="1"/>
    </xf>
    <xf numFmtId="0" fontId="19" fillId="0" borderId="9" xfId="4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4" fillId="3" borderId="5" xfId="0" applyNumberFormat="1" applyFont="1" applyFill="1" applyBorder="1"/>
    <xf numFmtId="1" fontId="18" fillId="3" borderId="0" xfId="0" applyNumberFormat="1" applyFont="1" applyFill="1" applyBorder="1" applyAlignment="1"/>
    <xf numFmtId="1" fontId="18" fillId="3" borderId="13" xfId="0" applyNumberFormat="1" applyFont="1" applyFill="1" applyBorder="1" applyAlignment="1"/>
    <xf numFmtId="1" fontId="18" fillId="3" borderId="0" xfId="0" applyNumberFormat="1" applyFont="1" applyFill="1" applyBorder="1" applyAlignment="1">
      <alignment horizontal="left"/>
    </xf>
    <xf numFmtId="1" fontId="18" fillId="3" borderId="13" xfId="0" applyNumberFormat="1" applyFont="1" applyFill="1" applyBorder="1" applyAlignment="1">
      <alignment horizontal="left"/>
    </xf>
    <xf numFmtId="1" fontId="24" fillId="5" borderId="6" xfId="0" applyNumberFormat="1" applyFont="1" applyFill="1" applyBorder="1" applyAlignment="1">
      <alignment vertical="center" wrapText="1"/>
    </xf>
    <xf numFmtId="1" fontId="24" fillId="5" borderId="8" xfId="0" applyNumberFormat="1" applyFont="1" applyFill="1" applyBorder="1" applyAlignment="1">
      <alignment vertical="center" wrapText="1"/>
    </xf>
    <xf numFmtId="1" fontId="14" fillId="0" borderId="3" xfId="0" applyNumberFormat="1" applyFont="1" applyBorder="1" applyAlignment="1">
      <alignment horizontal="center" vertical="center"/>
    </xf>
    <xf numFmtId="1" fontId="17" fillId="0" borderId="8" xfId="4" applyNumberFormat="1" applyFont="1" applyBorder="1" applyAlignment="1">
      <alignment horizontal="center" vertical="center" wrapText="1"/>
    </xf>
    <xf numFmtId="1" fontId="17" fillId="0" borderId="8" xfId="4" applyNumberFormat="1" applyFont="1" applyFill="1" applyBorder="1" applyAlignment="1">
      <alignment horizontal="center" vertical="center" wrapText="1"/>
    </xf>
    <xf numFmtId="1" fontId="10" fillId="3" borderId="0" xfId="0" applyNumberFormat="1" applyFont="1" applyFill="1" applyBorder="1" applyAlignment="1">
      <alignment horizontal="center" vertical="center" wrapText="1"/>
    </xf>
    <xf numFmtId="1" fontId="10" fillId="3" borderId="0" xfId="0" applyNumberFormat="1" applyFont="1" applyFill="1" applyBorder="1"/>
    <xf numFmtId="1" fontId="14" fillId="3" borderId="0" xfId="0" applyNumberFormat="1" applyFont="1" applyFill="1" applyBorder="1"/>
    <xf numFmtId="1" fontId="7" fillId="0" borderId="0" xfId="0" applyNumberFormat="1" applyFont="1"/>
    <xf numFmtId="1" fontId="14" fillId="0" borderId="24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vertical="center" wrapText="1"/>
    </xf>
    <xf numFmtId="49" fontId="24" fillId="5" borderId="30" xfId="0" applyNumberFormat="1" applyFont="1" applyFill="1" applyBorder="1" applyAlignment="1">
      <alignment vertical="center" wrapText="1"/>
    </xf>
    <xf numFmtId="0" fontId="25" fillId="5" borderId="30" xfId="0" applyFont="1" applyFill="1" applyBorder="1" applyAlignment="1">
      <alignment vertical="center" wrapText="1"/>
    </xf>
    <xf numFmtId="1" fontId="24" fillId="5" borderId="3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19" fillId="2" borderId="1" xfId="4" applyFont="1" applyFill="1" applyBorder="1" applyAlignment="1">
      <alignment horizontal="left" vertical="center" wrapText="1"/>
    </xf>
    <xf numFmtId="0" fontId="14" fillId="2" borderId="41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49" fontId="16" fillId="0" borderId="50" xfId="0" applyNumberFormat="1" applyFont="1" applyBorder="1" applyAlignment="1">
      <alignment horizontal="center" vertical="center" wrapText="1"/>
    </xf>
    <xf numFmtId="0" fontId="17" fillId="0" borderId="30" xfId="4" applyFont="1" applyBorder="1" applyAlignment="1">
      <alignment horizontal="left" vertical="center" wrapText="1"/>
    </xf>
    <xf numFmtId="0" fontId="14" fillId="0" borderId="30" xfId="0" applyFont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49" fontId="16" fillId="2" borderId="50" xfId="0" applyNumberFormat="1" applyFont="1" applyFill="1" applyBorder="1" applyAlignment="1">
      <alignment horizontal="center" vertical="center" wrapText="1"/>
    </xf>
    <xf numFmtId="0" fontId="17" fillId="2" borderId="30" xfId="4" applyFont="1" applyFill="1" applyBorder="1" applyAlignment="1">
      <alignment horizontal="left" vertical="center" wrapText="1"/>
    </xf>
    <xf numFmtId="0" fontId="17" fillId="2" borderId="3" xfId="4" applyFont="1" applyFill="1" applyBorder="1" applyAlignment="1">
      <alignment horizontal="center" vertical="center" wrapText="1"/>
    </xf>
    <xf numFmtId="0" fontId="5" fillId="4" borderId="37" xfId="0" applyFont="1" applyFill="1" applyBorder="1" applyAlignment="1"/>
    <xf numFmtId="0" fontId="5" fillId="4" borderId="38" xfId="0" applyFont="1" applyFill="1" applyBorder="1" applyAlignment="1"/>
    <xf numFmtId="0" fontId="5" fillId="4" borderId="42" xfId="0" applyFont="1" applyFill="1" applyBorder="1" applyAlignment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20" fillId="0" borderId="40" xfId="0" applyFont="1" applyBorder="1"/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7" xfId="0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14" fillId="2" borderId="4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0" fillId="3" borderId="0" xfId="0" applyFont="1" applyFill="1" applyBorder="1" applyAlignment="1">
      <alignment horizontal="left" wrapText="1"/>
    </xf>
    <xf numFmtId="49" fontId="24" fillId="5" borderId="43" xfId="0" applyNumberFormat="1" applyFont="1" applyFill="1" applyBorder="1" applyAlignment="1">
      <alignment horizontal="center" vertical="center" wrapText="1"/>
    </xf>
    <xf numFmtId="49" fontId="24" fillId="5" borderId="51" xfId="0" applyNumberFormat="1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49" fontId="24" fillId="5" borderId="15" xfId="0" applyNumberFormat="1" applyFont="1" applyFill="1" applyBorder="1" applyAlignment="1">
      <alignment horizontal="center" vertical="center" wrapText="1"/>
    </xf>
    <xf numFmtId="49" fontId="24" fillId="5" borderId="17" xfId="0" applyNumberFormat="1" applyFont="1" applyFill="1" applyBorder="1" applyAlignment="1">
      <alignment horizontal="center" vertical="center" wrapText="1"/>
    </xf>
    <xf numFmtId="49" fontId="24" fillId="5" borderId="18" xfId="0" applyNumberFormat="1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13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9" fontId="24" fillId="5" borderId="44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2 10" xfId="4" xr:uid="{00000000-0005-0000-0000-000002000000}"/>
    <cellStyle name="Normal 3" xfId="1" xr:uid="{00000000-0005-0000-0000-000003000000}"/>
    <cellStyle name="표준 2 2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9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1.jpeg"/><Relationship Id="rId10" Type="http://schemas.openxmlformats.org/officeDocument/2006/relationships/image" Target="../media/image35.png"/><Relationship Id="rId4" Type="http://schemas.openxmlformats.org/officeDocument/2006/relationships/image" Target="../media/image30.png"/><Relationship Id="rId9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1216387</xdr:colOff>
      <xdr:row>3</xdr:row>
      <xdr:rowOff>166687</xdr:rowOff>
    </xdr:from>
    <xdr:to>
      <xdr:col>4</xdr:col>
      <xdr:colOff>2233613</xdr:colOff>
      <xdr:row>3</xdr:row>
      <xdr:rowOff>1392814</xdr:rowOff>
    </xdr:to>
    <xdr:pic>
      <xdr:nvPicPr>
        <xdr:cNvPr id="26" name="Picture 25" descr="Logo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8587" y="852487"/>
          <a:ext cx="1017226" cy="1226127"/>
        </a:xfrm>
        <a:prstGeom prst="rect">
          <a:avLst/>
        </a:prstGeom>
      </xdr:spPr>
    </xdr:pic>
    <xdr:clientData/>
  </xdr:twoCellAnchor>
  <xdr:twoCellAnchor editAs="oneCell">
    <xdr:from>
      <xdr:col>4</xdr:col>
      <xdr:colOff>196491</xdr:colOff>
      <xdr:row>15</xdr:row>
      <xdr:rowOff>174542</xdr:rowOff>
    </xdr:from>
    <xdr:to>
      <xdr:col>4</xdr:col>
      <xdr:colOff>4000500</xdr:colOff>
      <xdr:row>20</xdr:row>
      <xdr:rowOff>419099</xdr:rowOff>
    </xdr:to>
    <xdr:pic>
      <xdr:nvPicPr>
        <xdr:cNvPr id="13" name="Picture 12" descr="Capture.JPG">
          <a:extLst>
            <a:ext uri="{FF2B5EF4-FFF2-40B4-BE49-F238E27FC236}">
              <a16:creationId xmlns:a16="http://schemas.microsoft.com/office/drawing/2014/main" id="{284DC31B-EF76-4ADD-9B99-ACAAE6B2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63991" y="11052092"/>
          <a:ext cx="3804009" cy="3673557"/>
        </a:xfrm>
        <a:prstGeom prst="rect">
          <a:avLst/>
        </a:prstGeom>
      </xdr:spPr>
    </xdr:pic>
    <xdr:clientData/>
  </xdr:twoCellAnchor>
  <xdr:twoCellAnchor editAs="oneCell">
    <xdr:from>
      <xdr:col>4</xdr:col>
      <xdr:colOff>99052</xdr:colOff>
      <xdr:row>21</xdr:row>
      <xdr:rowOff>133350</xdr:rowOff>
    </xdr:from>
    <xdr:to>
      <xdr:col>4</xdr:col>
      <xdr:colOff>4038600</xdr:colOff>
      <xdr:row>26</xdr:row>
      <xdr:rowOff>381000</xdr:rowOff>
    </xdr:to>
    <xdr:pic>
      <xdr:nvPicPr>
        <xdr:cNvPr id="14" name="Picture 13" descr="1A.JPG">
          <a:extLst>
            <a:ext uri="{FF2B5EF4-FFF2-40B4-BE49-F238E27FC236}">
              <a16:creationId xmlns:a16="http://schemas.microsoft.com/office/drawing/2014/main" id="{AFD8F7DA-2A70-4D90-AF54-3B92A5F26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66552" y="15125700"/>
          <a:ext cx="3939548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66508</xdr:colOff>
      <xdr:row>33</xdr:row>
      <xdr:rowOff>89858</xdr:rowOff>
    </xdr:from>
    <xdr:to>
      <xdr:col>4</xdr:col>
      <xdr:colOff>4133849</xdr:colOff>
      <xdr:row>38</xdr:row>
      <xdr:rowOff>495300</xdr:rowOff>
    </xdr:to>
    <xdr:pic>
      <xdr:nvPicPr>
        <xdr:cNvPr id="15" name="Picture 14" descr="1A.JPG">
          <a:extLst>
            <a:ext uri="{FF2B5EF4-FFF2-40B4-BE49-F238E27FC236}">
              <a16:creationId xmlns:a16="http://schemas.microsoft.com/office/drawing/2014/main" id="{EA3AF578-0A3A-45EB-9419-ADB656D00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34008" y="23311808"/>
          <a:ext cx="4067341" cy="3834442"/>
        </a:xfrm>
        <a:prstGeom prst="rect">
          <a:avLst/>
        </a:prstGeom>
      </xdr:spPr>
    </xdr:pic>
    <xdr:clientData/>
  </xdr:twoCellAnchor>
  <xdr:twoCellAnchor editAs="oneCell">
    <xdr:from>
      <xdr:col>4</xdr:col>
      <xdr:colOff>83586</xdr:colOff>
      <xdr:row>39</xdr:row>
      <xdr:rowOff>235230</xdr:rowOff>
    </xdr:from>
    <xdr:to>
      <xdr:col>4</xdr:col>
      <xdr:colOff>4038600</xdr:colOff>
      <xdr:row>44</xdr:row>
      <xdr:rowOff>381000</xdr:rowOff>
    </xdr:to>
    <xdr:pic>
      <xdr:nvPicPr>
        <xdr:cNvPr id="16" name="Picture 15" descr="1A.JPG">
          <a:extLst>
            <a:ext uri="{FF2B5EF4-FFF2-40B4-BE49-F238E27FC236}">
              <a16:creationId xmlns:a16="http://schemas.microsoft.com/office/drawing/2014/main" id="{311E23BC-EEAF-420F-86A3-4BBAF941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1086" y="27571980"/>
          <a:ext cx="3955014" cy="3574770"/>
        </a:xfrm>
        <a:prstGeom prst="rect">
          <a:avLst/>
        </a:prstGeom>
      </xdr:spPr>
    </xdr:pic>
    <xdr:clientData/>
  </xdr:twoCellAnchor>
  <xdr:twoCellAnchor editAs="oneCell">
    <xdr:from>
      <xdr:col>4</xdr:col>
      <xdr:colOff>169628</xdr:colOff>
      <xdr:row>45</xdr:row>
      <xdr:rowOff>127942</xdr:rowOff>
    </xdr:from>
    <xdr:to>
      <xdr:col>4</xdr:col>
      <xdr:colOff>4171950</xdr:colOff>
      <xdr:row>50</xdr:row>
      <xdr:rowOff>247650</xdr:rowOff>
    </xdr:to>
    <xdr:pic>
      <xdr:nvPicPr>
        <xdr:cNvPr id="18" name="Picture 17" descr="1A.JPG">
          <a:extLst>
            <a:ext uri="{FF2B5EF4-FFF2-40B4-BE49-F238E27FC236}">
              <a16:creationId xmlns:a16="http://schemas.microsoft.com/office/drawing/2014/main" id="{63D40F2C-C3AD-47DB-A3A7-8DEEEE0A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37128" y="31579492"/>
          <a:ext cx="4002322" cy="3548708"/>
        </a:xfrm>
        <a:prstGeom prst="rect">
          <a:avLst/>
        </a:prstGeom>
      </xdr:spPr>
    </xdr:pic>
    <xdr:clientData/>
  </xdr:twoCellAnchor>
  <xdr:twoCellAnchor editAs="oneCell">
    <xdr:from>
      <xdr:col>4</xdr:col>
      <xdr:colOff>51426</xdr:colOff>
      <xdr:row>51</xdr:row>
      <xdr:rowOff>166688</xdr:rowOff>
    </xdr:from>
    <xdr:to>
      <xdr:col>4</xdr:col>
      <xdr:colOff>4149267</xdr:colOff>
      <xdr:row>56</xdr:row>
      <xdr:rowOff>19050</xdr:rowOff>
    </xdr:to>
    <xdr:pic>
      <xdr:nvPicPr>
        <xdr:cNvPr id="19" name="Picture 18" descr="1A.JPG">
          <a:extLst>
            <a:ext uri="{FF2B5EF4-FFF2-40B4-BE49-F238E27FC236}">
              <a16:creationId xmlns:a16="http://schemas.microsoft.com/office/drawing/2014/main" id="{92CC999B-955F-49C8-8F55-CB233CF6B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8926" y="35733038"/>
          <a:ext cx="4097841" cy="3281362"/>
        </a:xfrm>
        <a:prstGeom prst="rect">
          <a:avLst/>
        </a:prstGeom>
      </xdr:spPr>
    </xdr:pic>
    <xdr:clientData/>
  </xdr:twoCellAnchor>
  <xdr:twoCellAnchor editAs="oneCell">
    <xdr:from>
      <xdr:col>4</xdr:col>
      <xdr:colOff>178054</xdr:colOff>
      <xdr:row>57</xdr:row>
      <xdr:rowOff>161925</xdr:rowOff>
    </xdr:from>
    <xdr:to>
      <xdr:col>4</xdr:col>
      <xdr:colOff>4095750</xdr:colOff>
      <xdr:row>62</xdr:row>
      <xdr:rowOff>209550</xdr:rowOff>
    </xdr:to>
    <xdr:pic>
      <xdr:nvPicPr>
        <xdr:cNvPr id="20" name="Picture 19" descr="1A.JPG">
          <a:extLst>
            <a:ext uri="{FF2B5EF4-FFF2-40B4-BE49-F238E27FC236}">
              <a16:creationId xmlns:a16="http://schemas.microsoft.com/office/drawing/2014/main" id="{5ADBFCB8-9690-491A-AD92-0BEFA061B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45554" y="39843075"/>
          <a:ext cx="3917696" cy="3476625"/>
        </a:xfrm>
        <a:prstGeom prst="rect">
          <a:avLst/>
        </a:prstGeom>
      </xdr:spPr>
    </xdr:pic>
    <xdr:clientData/>
  </xdr:twoCellAnchor>
  <xdr:twoCellAnchor editAs="oneCell">
    <xdr:from>
      <xdr:col>4</xdr:col>
      <xdr:colOff>157162</xdr:colOff>
      <xdr:row>63</xdr:row>
      <xdr:rowOff>587654</xdr:rowOff>
    </xdr:from>
    <xdr:to>
      <xdr:col>5</xdr:col>
      <xdr:colOff>0</xdr:colOff>
      <xdr:row>67</xdr:row>
      <xdr:rowOff>495299</xdr:rowOff>
    </xdr:to>
    <xdr:pic>
      <xdr:nvPicPr>
        <xdr:cNvPr id="21" name="Picture 20" descr="1A.JPG">
          <a:extLst>
            <a:ext uri="{FF2B5EF4-FFF2-40B4-BE49-F238E27FC236}">
              <a16:creationId xmlns:a16="http://schemas.microsoft.com/office/drawing/2014/main" id="{93C2A3CD-FE7E-4E98-B8C8-DA95EBBA0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24662" y="44383604"/>
          <a:ext cx="4052888" cy="2650845"/>
        </a:xfrm>
        <a:prstGeom prst="rect">
          <a:avLst/>
        </a:prstGeom>
      </xdr:spPr>
    </xdr:pic>
    <xdr:clientData/>
  </xdr:twoCellAnchor>
  <xdr:twoCellAnchor editAs="oneCell">
    <xdr:from>
      <xdr:col>4</xdr:col>
      <xdr:colOff>156594</xdr:colOff>
      <xdr:row>69</xdr:row>
      <xdr:rowOff>199768</xdr:rowOff>
    </xdr:from>
    <xdr:to>
      <xdr:col>4</xdr:col>
      <xdr:colOff>3905249</xdr:colOff>
      <xdr:row>73</xdr:row>
      <xdr:rowOff>361949</xdr:rowOff>
    </xdr:to>
    <xdr:pic>
      <xdr:nvPicPr>
        <xdr:cNvPr id="22" name="Picture 21" descr="1A.JPG">
          <a:extLst>
            <a:ext uri="{FF2B5EF4-FFF2-40B4-BE49-F238E27FC236}">
              <a16:creationId xmlns:a16="http://schemas.microsoft.com/office/drawing/2014/main" id="{06B5610A-A6AD-4596-ADCB-4E1BF3112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24094" y="48110518"/>
          <a:ext cx="3748655" cy="2905381"/>
        </a:xfrm>
        <a:prstGeom prst="rect">
          <a:avLst/>
        </a:prstGeom>
      </xdr:spPr>
    </xdr:pic>
    <xdr:clientData/>
  </xdr:twoCellAnchor>
  <xdr:twoCellAnchor editAs="oneCell">
    <xdr:from>
      <xdr:col>4</xdr:col>
      <xdr:colOff>126218</xdr:colOff>
      <xdr:row>75</xdr:row>
      <xdr:rowOff>166686</xdr:rowOff>
    </xdr:from>
    <xdr:to>
      <xdr:col>4</xdr:col>
      <xdr:colOff>4152899</xdr:colOff>
      <xdr:row>80</xdr:row>
      <xdr:rowOff>95249</xdr:rowOff>
    </xdr:to>
    <xdr:pic>
      <xdr:nvPicPr>
        <xdr:cNvPr id="23" name="Picture 22" descr="1A.JPG">
          <a:extLst>
            <a:ext uri="{FF2B5EF4-FFF2-40B4-BE49-F238E27FC236}">
              <a16:creationId xmlns:a16="http://schemas.microsoft.com/office/drawing/2014/main" id="{6C778CDB-24CD-40B2-B740-11D2A7DBF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93718" y="52192236"/>
          <a:ext cx="4026681" cy="3357563"/>
        </a:xfrm>
        <a:prstGeom prst="rect">
          <a:avLst/>
        </a:prstGeom>
      </xdr:spPr>
    </xdr:pic>
    <xdr:clientData/>
  </xdr:twoCellAnchor>
  <xdr:twoCellAnchor editAs="oneCell">
    <xdr:from>
      <xdr:col>4</xdr:col>
      <xdr:colOff>178054</xdr:colOff>
      <xdr:row>88</xdr:row>
      <xdr:rowOff>113050</xdr:rowOff>
    </xdr:from>
    <xdr:to>
      <xdr:col>4</xdr:col>
      <xdr:colOff>3829050</xdr:colOff>
      <xdr:row>91</xdr:row>
      <xdr:rowOff>628649</xdr:rowOff>
    </xdr:to>
    <xdr:pic>
      <xdr:nvPicPr>
        <xdr:cNvPr id="28" name="Picture 27" descr="1A.JPG">
          <a:extLst>
            <a:ext uri="{FF2B5EF4-FFF2-40B4-BE49-F238E27FC236}">
              <a16:creationId xmlns:a16="http://schemas.microsoft.com/office/drawing/2014/main" id="{B152EB3C-41FF-4D18-96EC-C06452C9F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45554" y="61054000"/>
          <a:ext cx="3650996" cy="2572999"/>
        </a:xfrm>
        <a:prstGeom prst="rect">
          <a:avLst/>
        </a:prstGeom>
      </xdr:spPr>
    </xdr:pic>
    <xdr:clientData/>
  </xdr:twoCellAnchor>
  <xdr:twoCellAnchor editAs="oneCell">
    <xdr:from>
      <xdr:col>4</xdr:col>
      <xdr:colOff>776287</xdr:colOff>
      <xdr:row>99</xdr:row>
      <xdr:rowOff>203529</xdr:rowOff>
    </xdr:from>
    <xdr:to>
      <xdr:col>4</xdr:col>
      <xdr:colOff>2324100</xdr:colOff>
      <xdr:row>103</xdr:row>
      <xdr:rowOff>332477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1462AEB-298A-4186-95CF-7199C960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443787" y="68688279"/>
          <a:ext cx="1547813" cy="28721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204787</xdr:colOff>
      <xdr:row>105</xdr:row>
      <xdr:rowOff>228600</xdr:rowOff>
    </xdr:from>
    <xdr:to>
      <xdr:col>4</xdr:col>
      <xdr:colOff>3924300</xdr:colOff>
      <xdr:row>110</xdr:row>
      <xdr:rowOff>533400</xdr:rowOff>
    </xdr:to>
    <xdr:pic>
      <xdr:nvPicPr>
        <xdr:cNvPr id="32" name="Picture 3">
          <a:extLst>
            <a:ext uri="{FF2B5EF4-FFF2-40B4-BE49-F238E27FC236}">
              <a16:creationId xmlns:a16="http://schemas.microsoft.com/office/drawing/2014/main" id="{D0887ED4-53F1-45BE-AF82-FF76D774F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72287" y="72828150"/>
          <a:ext cx="3719513" cy="3733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85724</xdr:colOff>
      <xdr:row>111</xdr:row>
      <xdr:rowOff>97399</xdr:rowOff>
    </xdr:from>
    <xdr:to>
      <xdr:col>4</xdr:col>
      <xdr:colOff>4038600</xdr:colOff>
      <xdr:row>116</xdr:row>
      <xdr:rowOff>419100</xdr:rowOff>
    </xdr:to>
    <xdr:pic>
      <xdr:nvPicPr>
        <xdr:cNvPr id="33" name="Picture 4">
          <a:extLst>
            <a:ext uri="{FF2B5EF4-FFF2-40B4-BE49-F238E27FC236}">
              <a16:creationId xmlns:a16="http://schemas.microsoft.com/office/drawing/2014/main" id="{AB9CDC0C-0B3C-4BD4-B302-B71319AD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753224" y="76811749"/>
          <a:ext cx="3952876" cy="37507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2577784</xdr:colOff>
      <xdr:row>117</xdr:row>
      <xdr:rowOff>309562</xdr:rowOff>
    </xdr:from>
    <xdr:to>
      <xdr:col>4</xdr:col>
      <xdr:colOff>3981450</xdr:colOff>
      <xdr:row>122</xdr:row>
      <xdr:rowOff>133350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20FFB8FE-45C1-47E7-A4D3-4D4F0845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654484" y="81138712"/>
          <a:ext cx="3994466" cy="32527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38100</xdr:colOff>
      <xdr:row>123</xdr:row>
      <xdr:rowOff>87286</xdr:rowOff>
    </xdr:from>
    <xdr:to>
      <xdr:col>4</xdr:col>
      <xdr:colOff>3924300</xdr:colOff>
      <xdr:row>128</xdr:row>
      <xdr:rowOff>76200</xdr:rowOff>
    </xdr:to>
    <xdr:pic>
      <xdr:nvPicPr>
        <xdr:cNvPr id="35" name="Picture 6">
          <a:extLst>
            <a:ext uri="{FF2B5EF4-FFF2-40B4-BE49-F238E27FC236}">
              <a16:creationId xmlns:a16="http://schemas.microsoft.com/office/drawing/2014/main" id="{FCE2AAD2-0B2F-48DB-A5B6-27C8D7107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705600" y="85031236"/>
          <a:ext cx="3886200" cy="34179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228599</xdr:colOff>
      <xdr:row>129</xdr:row>
      <xdr:rowOff>594424</xdr:rowOff>
    </xdr:from>
    <xdr:to>
      <xdr:col>4</xdr:col>
      <xdr:colOff>4019550</xdr:colOff>
      <xdr:row>133</xdr:row>
      <xdr:rowOff>647700</xdr:rowOff>
    </xdr:to>
    <xdr:pic>
      <xdr:nvPicPr>
        <xdr:cNvPr id="36" name="Picture 7">
          <a:extLst>
            <a:ext uri="{FF2B5EF4-FFF2-40B4-BE49-F238E27FC236}">
              <a16:creationId xmlns:a16="http://schemas.microsoft.com/office/drawing/2014/main" id="{E08648A3-786B-452E-9ACC-12D167D21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96099" y="89653174"/>
          <a:ext cx="3790951" cy="2796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109537</xdr:colOff>
      <xdr:row>136</xdr:row>
      <xdr:rowOff>119165</xdr:rowOff>
    </xdr:from>
    <xdr:to>
      <xdr:col>4</xdr:col>
      <xdr:colOff>4057650</xdr:colOff>
      <xdr:row>140</xdr:row>
      <xdr:rowOff>266700</xdr:rowOff>
    </xdr:to>
    <xdr:pic>
      <xdr:nvPicPr>
        <xdr:cNvPr id="37" name="Picture 8">
          <a:extLst>
            <a:ext uri="{FF2B5EF4-FFF2-40B4-BE49-F238E27FC236}">
              <a16:creationId xmlns:a16="http://schemas.microsoft.com/office/drawing/2014/main" id="{9D42FEDB-3206-49CF-81CF-0CDC94A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777037" y="93978515"/>
          <a:ext cx="3948113" cy="2890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180974</xdr:colOff>
      <xdr:row>142</xdr:row>
      <xdr:rowOff>554788</xdr:rowOff>
    </xdr:from>
    <xdr:to>
      <xdr:col>4</xdr:col>
      <xdr:colOff>3581399</xdr:colOff>
      <xdr:row>145</xdr:row>
      <xdr:rowOff>209550</xdr:rowOff>
    </xdr:to>
    <xdr:pic>
      <xdr:nvPicPr>
        <xdr:cNvPr id="38" name="Picture 9">
          <a:extLst>
            <a:ext uri="{FF2B5EF4-FFF2-40B4-BE49-F238E27FC236}">
              <a16:creationId xmlns:a16="http://schemas.microsoft.com/office/drawing/2014/main" id="{E093B37A-56D3-466D-9230-384F22D8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48474" y="98528938"/>
          <a:ext cx="3400425" cy="1712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61912</xdr:colOff>
      <xdr:row>147</xdr:row>
      <xdr:rowOff>335802</xdr:rowOff>
    </xdr:from>
    <xdr:to>
      <xdr:col>4</xdr:col>
      <xdr:colOff>4019550</xdr:colOff>
      <xdr:row>152</xdr:row>
      <xdr:rowOff>-1</xdr:rowOff>
    </xdr:to>
    <xdr:pic>
      <xdr:nvPicPr>
        <xdr:cNvPr id="39" name="Picture 10">
          <a:extLst>
            <a:ext uri="{FF2B5EF4-FFF2-40B4-BE49-F238E27FC236}">
              <a16:creationId xmlns:a16="http://schemas.microsoft.com/office/drawing/2014/main" id="{ADEB5037-761F-4589-B1E2-D8C6A1CC7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729412" y="101738952"/>
          <a:ext cx="3957638" cy="30931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169696</xdr:colOff>
      <xdr:row>153</xdr:row>
      <xdr:rowOff>419100</xdr:rowOff>
    </xdr:from>
    <xdr:to>
      <xdr:col>4</xdr:col>
      <xdr:colOff>3943350</xdr:colOff>
      <xdr:row>158</xdr:row>
      <xdr:rowOff>171450</xdr:rowOff>
    </xdr:to>
    <xdr:pic>
      <xdr:nvPicPr>
        <xdr:cNvPr id="40" name="Picture 11">
          <a:extLst>
            <a:ext uri="{FF2B5EF4-FFF2-40B4-BE49-F238E27FC236}">
              <a16:creationId xmlns:a16="http://schemas.microsoft.com/office/drawing/2014/main" id="{48998C6A-A02D-4C33-B01B-ABF5BB51C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37196" y="105937050"/>
          <a:ext cx="3773654" cy="3181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190500</xdr:colOff>
      <xdr:row>27</xdr:row>
      <xdr:rowOff>152400</xdr:rowOff>
    </xdr:from>
    <xdr:to>
      <xdr:col>4</xdr:col>
      <xdr:colOff>4067341</xdr:colOff>
      <xdr:row>32</xdr:row>
      <xdr:rowOff>557842</xdr:rowOff>
    </xdr:to>
    <xdr:pic>
      <xdr:nvPicPr>
        <xdr:cNvPr id="27" name="Picture 26" descr="1A.JPG">
          <a:extLst>
            <a:ext uri="{FF2B5EF4-FFF2-40B4-BE49-F238E27FC236}">
              <a16:creationId xmlns:a16="http://schemas.microsoft.com/office/drawing/2014/main" id="{54FC8837-ED56-4BD9-91EE-364B6C6E2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58000" y="19259550"/>
          <a:ext cx="3876841" cy="383444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3962400</xdr:colOff>
      <xdr:row>86</xdr:row>
      <xdr:rowOff>609599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2CE30-F937-411F-BBED-4394B77C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0" y="56140350"/>
          <a:ext cx="3962400" cy="40385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3886200</xdr:colOff>
      <xdr:row>98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00883-76F4-4004-878C-06BEBC394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67500" y="64369950"/>
          <a:ext cx="3886200" cy="3543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1216387</xdr:colOff>
      <xdr:row>15</xdr:row>
      <xdr:rowOff>0</xdr:rowOff>
    </xdr:from>
    <xdr:to>
      <xdr:col>4</xdr:col>
      <xdr:colOff>2233613</xdr:colOff>
      <xdr:row>16</xdr:row>
      <xdr:rowOff>540327</xdr:rowOff>
    </xdr:to>
    <xdr:pic>
      <xdr:nvPicPr>
        <xdr:cNvPr id="2" name="Picture 1" descr="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825" y="857250"/>
          <a:ext cx="1017226" cy="1226127"/>
        </a:xfrm>
        <a:prstGeom prst="rect">
          <a:avLst/>
        </a:prstGeom>
      </xdr:spPr>
    </xdr:pic>
    <xdr:clientData/>
  </xdr:twoCellAnchor>
  <xdr:twoCellAnchor editAs="oneCell">
    <xdr:from>
      <xdr:col>4</xdr:col>
      <xdr:colOff>240479</xdr:colOff>
      <xdr:row>15</xdr:row>
      <xdr:rowOff>675203</xdr:rowOff>
    </xdr:from>
    <xdr:to>
      <xdr:col>4</xdr:col>
      <xdr:colOff>3861955</xdr:colOff>
      <xdr:row>18</xdr:row>
      <xdr:rowOff>658092</xdr:rowOff>
    </xdr:to>
    <xdr:pic>
      <xdr:nvPicPr>
        <xdr:cNvPr id="13" name="Picture 12" descr="Capture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84679" y="41956553"/>
          <a:ext cx="3621476" cy="2040289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119062</xdr:colOff>
      <xdr:row>21</xdr:row>
      <xdr:rowOff>274624</xdr:rowOff>
    </xdr:from>
    <xdr:to>
      <xdr:col>4</xdr:col>
      <xdr:colOff>3952874</xdr:colOff>
      <xdr:row>25</xdr:row>
      <xdr:rowOff>495302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863262" y="44984974"/>
          <a:ext cx="3833812" cy="29638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1216387</xdr:colOff>
      <xdr:row>3</xdr:row>
      <xdr:rowOff>166687</xdr:rowOff>
    </xdr:from>
    <xdr:to>
      <xdr:col>4</xdr:col>
      <xdr:colOff>2233613</xdr:colOff>
      <xdr:row>5</xdr:row>
      <xdr:rowOff>21214</xdr:rowOff>
    </xdr:to>
    <xdr:pic>
      <xdr:nvPicPr>
        <xdr:cNvPr id="5" name="Picture 4" descr="Logo.jpg">
          <a:extLst>
            <a:ext uri="{FF2B5EF4-FFF2-40B4-BE49-F238E27FC236}">
              <a16:creationId xmlns:a16="http://schemas.microsoft.com/office/drawing/2014/main" id="{ADD13526-7284-44DC-A8F6-CA56282E2A9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9127" y="1995487"/>
          <a:ext cx="1017226" cy="1226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16</xdr:row>
      <xdr:rowOff>141814</xdr:rowOff>
    </xdr:from>
    <xdr:to>
      <xdr:col>4</xdr:col>
      <xdr:colOff>3929062</xdr:colOff>
      <xdr:row>18</xdr:row>
      <xdr:rowOff>214312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982325" y="48966964"/>
          <a:ext cx="3690937" cy="14440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95251</xdr:colOff>
      <xdr:row>22</xdr:row>
      <xdr:rowOff>20978</xdr:rowOff>
    </xdr:from>
    <xdr:to>
      <xdr:col>4</xdr:col>
      <xdr:colOff>4000500</xdr:colOff>
      <xdr:row>24</xdr:row>
      <xdr:rowOff>42863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839451" y="52275128"/>
          <a:ext cx="3905249" cy="1393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261938</xdr:colOff>
      <xdr:row>28</xdr:row>
      <xdr:rowOff>261938</xdr:rowOff>
    </xdr:from>
    <xdr:to>
      <xdr:col>4</xdr:col>
      <xdr:colOff>3964109</xdr:colOff>
      <xdr:row>29</xdr:row>
      <xdr:rowOff>642938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006138" y="55945088"/>
          <a:ext cx="3702171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71437</xdr:colOff>
      <xdr:row>34</xdr:row>
      <xdr:rowOff>505914</xdr:rowOff>
    </xdr:from>
    <xdr:to>
      <xdr:col>4</xdr:col>
      <xdr:colOff>3905250</xdr:colOff>
      <xdr:row>36</xdr:row>
      <xdr:rowOff>95248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815637" y="59618064"/>
          <a:ext cx="3833813" cy="9609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1216387</xdr:colOff>
      <xdr:row>3</xdr:row>
      <xdr:rowOff>166687</xdr:rowOff>
    </xdr:from>
    <xdr:to>
      <xdr:col>4</xdr:col>
      <xdr:colOff>2233613</xdr:colOff>
      <xdr:row>3</xdr:row>
      <xdr:rowOff>1392814</xdr:rowOff>
    </xdr:to>
    <xdr:pic>
      <xdr:nvPicPr>
        <xdr:cNvPr id="20" name="Picture 19" descr="Logo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88587" y="852487"/>
          <a:ext cx="1017226" cy="1226127"/>
        </a:xfrm>
        <a:prstGeom prst="rect">
          <a:avLst/>
        </a:prstGeom>
      </xdr:spPr>
    </xdr:pic>
    <xdr:clientData/>
  </xdr:twoCellAnchor>
  <xdr:twoCellAnchor editAs="oneCell">
    <xdr:from>
      <xdr:col>4</xdr:col>
      <xdr:colOff>166688</xdr:colOff>
      <xdr:row>45</xdr:row>
      <xdr:rowOff>214312</xdr:rowOff>
    </xdr:from>
    <xdr:to>
      <xdr:col>4</xdr:col>
      <xdr:colOff>3214687</xdr:colOff>
      <xdr:row>48</xdr:row>
      <xdr:rowOff>476250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22B86C-42B4-4080-8CFF-FE10F736F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72463" y="9948862"/>
          <a:ext cx="3047999" cy="231933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51</xdr:row>
      <xdr:rowOff>190500</xdr:rowOff>
    </xdr:from>
    <xdr:to>
      <xdr:col>4</xdr:col>
      <xdr:colOff>3333749</xdr:colOff>
      <xdr:row>54</xdr:row>
      <xdr:rowOff>357187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1D97FF-496C-4DA2-957F-853254D68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01025" y="12668250"/>
          <a:ext cx="3238499" cy="2224087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57</xdr:row>
      <xdr:rowOff>190501</xdr:rowOff>
    </xdr:from>
    <xdr:to>
      <xdr:col>4</xdr:col>
      <xdr:colOff>3238500</xdr:colOff>
      <xdr:row>60</xdr:row>
      <xdr:rowOff>452438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F8C28A-75D7-49DA-B5EC-B4188547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43901" y="15411451"/>
          <a:ext cx="3000374" cy="231933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63</xdr:row>
      <xdr:rowOff>71438</xdr:rowOff>
    </xdr:from>
    <xdr:to>
      <xdr:col>4</xdr:col>
      <xdr:colOff>3262312</xdr:colOff>
      <xdr:row>66</xdr:row>
      <xdr:rowOff>476250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F0ADB1-8BC8-4E04-9BF7-0EB2E1238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1525" y="18035588"/>
          <a:ext cx="2976562" cy="2462212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69</xdr:row>
      <xdr:rowOff>214313</xdr:rowOff>
    </xdr:from>
    <xdr:to>
      <xdr:col>4</xdr:col>
      <xdr:colOff>3119437</xdr:colOff>
      <xdr:row>72</xdr:row>
      <xdr:rowOff>357187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0D46BD-4C7D-452B-A5E7-DD60BE60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43900" y="20921663"/>
          <a:ext cx="2881312" cy="2200274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75</xdr:row>
      <xdr:rowOff>228601</xdr:rowOff>
    </xdr:from>
    <xdr:to>
      <xdr:col>4</xdr:col>
      <xdr:colOff>4019551</xdr:colOff>
      <xdr:row>79</xdr:row>
      <xdr:rowOff>381001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281B7-BCAB-49C3-A5D6-D8474A0DF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96051" y="45396151"/>
          <a:ext cx="38481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39</xdr:row>
      <xdr:rowOff>57151</xdr:rowOff>
    </xdr:from>
    <xdr:to>
      <xdr:col>4</xdr:col>
      <xdr:colOff>4000501</xdr:colOff>
      <xdr:row>44</xdr:row>
      <xdr:rowOff>381001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11CD0D-2621-4EC5-93EF-7B1813F8E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19851" y="27393901"/>
          <a:ext cx="3905250" cy="375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BA74-B313-45CC-817B-CF6C1C0B922A}">
  <dimension ref="D4:F9"/>
  <sheetViews>
    <sheetView workbookViewId="0">
      <selection activeCell="H12" sqref="H12"/>
    </sheetView>
  </sheetViews>
  <sheetFormatPr defaultRowHeight="14.4"/>
  <cols>
    <col min="4" max="4" width="10.109375" bestFit="1" customWidth="1"/>
    <col min="5" max="5" width="12" bestFit="1" customWidth="1"/>
    <col min="6" max="6" width="12.33203125" bestFit="1" customWidth="1"/>
  </cols>
  <sheetData>
    <row r="4" spans="4:6" ht="15" thickBot="1"/>
    <row r="5" spans="4:6">
      <c r="D5" s="145"/>
      <c r="E5" s="145" t="s">
        <v>168</v>
      </c>
      <c r="F5" s="145" t="s">
        <v>169</v>
      </c>
    </row>
    <row r="6" spans="4:6">
      <c r="D6" s="146" t="s">
        <v>144</v>
      </c>
      <c r="E6" s="146">
        <v>24</v>
      </c>
      <c r="F6" s="146">
        <v>36</v>
      </c>
    </row>
    <row r="7" spans="4:6">
      <c r="D7" s="146" t="s">
        <v>145</v>
      </c>
      <c r="E7" s="146">
        <v>2</v>
      </c>
      <c r="F7" s="146">
        <v>5</v>
      </c>
    </row>
    <row r="8" spans="4:6" ht="15" thickBot="1">
      <c r="D8" s="147" t="s">
        <v>146</v>
      </c>
      <c r="E8" s="147">
        <v>11</v>
      </c>
      <c r="F8" s="147">
        <v>17</v>
      </c>
    </row>
    <row r="9" spans="4:6" ht="18.600000000000001" thickBot="1">
      <c r="E9" s="148">
        <f>SUM(E6:E8)</f>
        <v>37</v>
      </c>
      <c r="F9" s="148">
        <f>SUM(F6:F8)</f>
        <v>58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6"/>
  <sheetViews>
    <sheetView tabSelected="1" topLeftCell="A149" zoomScale="40" zoomScaleNormal="40" zoomScaleSheetLayoutView="84" workbookViewId="0">
      <selection activeCell="N152" sqref="N152"/>
    </sheetView>
  </sheetViews>
  <sheetFormatPr defaultColWidth="9.109375" defaultRowHeight="54" customHeight="1"/>
  <cols>
    <col min="1" max="1" width="5.6640625" style="2" customWidth="1"/>
    <col min="2" max="2" width="14" style="2" customWidth="1"/>
    <col min="3" max="3" width="40.109375" style="2" customWidth="1"/>
    <col min="4" max="4" width="37.6640625" style="2" customWidth="1"/>
    <col min="5" max="5" width="61.33203125" style="2" customWidth="1"/>
    <col min="6" max="6" width="15.5546875" style="2" customWidth="1"/>
    <col min="7" max="8" width="12" style="2" customWidth="1"/>
    <col min="9" max="11" width="11.6640625" style="2" customWidth="1"/>
    <col min="12" max="12" width="17" style="2" customWidth="1"/>
    <col min="13" max="13" width="10.33203125" style="2" customWidth="1"/>
    <col min="14" max="14" width="29.5546875" style="3" customWidth="1"/>
    <col min="15" max="17" width="13.33203125" style="4" customWidth="1"/>
    <col min="18" max="18" width="15" style="119" customWidth="1"/>
    <col min="19" max="19" width="12.44140625" style="4" customWidth="1"/>
    <col min="20" max="20" width="25" style="4" customWidth="1"/>
    <col min="21" max="21" width="18.5546875" style="4" customWidth="1"/>
    <col min="22" max="22" width="6" style="2" customWidth="1"/>
    <col min="23" max="16384" width="9.109375" style="2"/>
  </cols>
  <sheetData>
    <row r="1" spans="1:22" s="21" customFormat="1" ht="45" customHeight="1">
      <c r="N1" s="22"/>
      <c r="O1" s="23">
        <v>375</v>
      </c>
      <c r="P1" s="23"/>
      <c r="Q1" s="23"/>
      <c r="R1" s="105"/>
      <c r="S1" s="23"/>
      <c r="T1" s="23"/>
      <c r="U1" s="23"/>
    </row>
    <row r="2" spans="1:22" s="21" customFormat="1" ht="45" customHeight="1" thickBot="1">
      <c r="N2" s="22"/>
      <c r="O2" s="24">
        <v>0.65</v>
      </c>
      <c r="P2" s="24"/>
      <c r="Q2" s="24"/>
      <c r="R2" s="105"/>
      <c r="S2" s="23"/>
      <c r="T2" s="23"/>
      <c r="U2" s="23"/>
    </row>
    <row r="3" spans="1:22" ht="54" customHeight="1" thickBo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</row>
    <row r="4" spans="1:22" ht="118.5" customHeight="1">
      <c r="A4" s="149"/>
      <c r="B4" s="182" t="s">
        <v>44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49"/>
    </row>
    <row r="5" spans="1:22" ht="54" customHeight="1">
      <c r="A5" s="149"/>
      <c r="B5" s="183" t="s">
        <v>46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49"/>
    </row>
    <row r="6" spans="1:22" ht="54" customHeight="1">
      <c r="A6" s="149"/>
      <c r="B6" s="184" t="s">
        <v>47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49"/>
    </row>
    <row r="7" spans="1:22" s="1" customFormat="1" ht="54" customHeight="1" thickBot="1">
      <c r="A7" s="149"/>
      <c r="B7" s="185" t="s">
        <v>16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49"/>
    </row>
    <row r="8" spans="1:22" s="1" customFormat="1" ht="54" customHeight="1">
      <c r="A8" s="149"/>
      <c r="B8" s="18" t="s">
        <v>17</v>
      </c>
      <c r="C8" s="37"/>
      <c r="D8" s="37"/>
      <c r="E8" s="18"/>
      <c r="F8" s="18"/>
      <c r="G8" s="18"/>
      <c r="H8" s="18"/>
      <c r="I8" s="18"/>
      <c r="J8" s="18"/>
      <c r="K8" s="18"/>
      <c r="L8" s="18"/>
      <c r="M8" s="18"/>
      <c r="N8" s="18"/>
      <c r="O8" s="6"/>
      <c r="P8" s="6"/>
      <c r="Q8" s="6"/>
      <c r="R8" s="106"/>
      <c r="S8" s="192" t="s">
        <v>18</v>
      </c>
      <c r="T8" s="193"/>
      <c r="U8" s="194"/>
      <c r="V8" s="149"/>
    </row>
    <row r="9" spans="1:22" s="1" customFormat="1" ht="54" customHeight="1">
      <c r="A9" s="149"/>
      <c r="B9" s="25" t="s">
        <v>172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107"/>
      <c r="S9" s="195" t="s">
        <v>19</v>
      </c>
      <c r="T9" s="196"/>
      <c r="U9" s="197"/>
      <c r="V9" s="149"/>
    </row>
    <row r="10" spans="1:22" s="1" customFormat="1" ht="54" customHeight="1">
      <c r="A10" s="149"/>
      <c r="B10" s="25" t="s">
        <v>173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107"/>
      <c r="S10" s="195" t="s">
        <v>21</v>
      </c>
      <c r="T10" s="196"/>
      <c r="U10" s="197"/>
      <c r="V10" s="149"/>
    </row>
    <row r="11" spans="1:22" s="1" customFormat="1" ht="54" customHeight="1" thickBot="1">
      <c r="A11" s="149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108"/>
      <c r="S11" s="198" t="s">
        <v>20</v>
      </c>
      <c r="T11" s="199"/>
      <c r="U11" s="200"/>
      <c r="V11" s="149"/>
    </row>
    <row r="12" spans="1:22" s="1" customFormat="1" ht="54" customHeight="1">
      <c r="A12" s="149"/>
      <c r="B12" s="186" t="s">
        <v>171</v>
      </c>
      <c r="C12" s="186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09"/>
      <c r="S12" s="16"/>
      <c r="T12" s="16"/>
      <c r="U12" s="16"/>
      <c r="V12" s="149"/>
    </row>
    <row r="13" spans="1:22" ht="54" customHeight="1" thickBot="1">
      <c r="A13" s="149"/>
      <c r="B13" s="187"/>
      <c r="C13" s="18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10"/>
      <c r="S13" s="17"/>
      <c r="T13" s="17"/>
      <c r="U13" s="17"/>
      <c r="V13" s="149"/>
    </row>
    <row r="14" spans="1:22" ht="54" customHeight="1">
      <c r="A14" s="149"/>
      <c r="B14" s="167" t="s">
        <v>1</v>
      </c>
      <c r="C14" s="38" t="s">
        <v>9</v>
      </c>
      <c r="D14" s="39" t="s">
        <v>2</v>
      </c>
      <c r="E14" s="39" t="s">
        <v>10</v>
      </c>
      <c r="F14" s="179" t="s">
        <v>32</v>
      </c>
      <c r="G14" s="180"/>
      <c r="H14" s="181"/>
      <c r="I14" s="179" t="s">
        <v>3</v>
      </c>
      <c r="J14" s="180"/>
      <c r="K14" s="181"/>
      <c r="L14" s="38" t="s">
        <v>8</v>
      </c>
      <c r="M14" s="38" t="s">
        <v>4</v>
      </c>
      <c r="N14" s="40" t="s">
        <v>0</v>
      </c>
      <c r="O14" s="179" t="s">
        <v>38</v>
      </c>
      <c r="P14" s="180"/>
      <c r="Q14" s="181"/>
      <c r="R14" s="111" t="s">
        <v>11</v>
      </c>
      <c r="S14" s="38" t="s">
        <v>12</v>
      </c>
      <c r="T14" s="38" t="s">
        <v>13</v>
      </c>
      <c r="U14" s="38" t="s">
        <v>14</v>
      </c>
      <c r="V14" s="149"/>
    </row>
    <row r="15" spans="1:22" ht="54" customHeight="1" thickBot="1">
      <c r="A15" s="149"/>
      <c r="B15" s="168"/>
      <c r="C15" s="41"/>
      <c r="D15" s="42"/>
      <c r="E15" s="42"/>
      <c r="F15" s="43" t="s">
        <v>33</v>
      </c>
      <c r="G15" s="43" t="s">
        <v>34</v>
      </c>
      <c r="H15" s="43" t="s">
        <v>35</v>
      </c>
      <c r="I15" s="43" t="s">
        <v>33</v>
      </c>
      <c r="J15" s="43" t="s">
        <v>34</v>
      </c>
      <c r="K15" s="43" t="s">
        <v>36</v>
      </c>
      <c r="L15" s="41"/>
      <c r="M15" s="41"/>
      <c r="N15" s="44"/>
      <c r="O15" s="45" t="s">
        <v>5</v>
      </c>
      <c r="P15" s="45" t="s">
        <v>6</v>
      </c>
      <c r="Q15" s="45" t="s">
        <v>7</v>
      </c>
      <c r="R15" s="112"/>
      <c r="S15" s="41"/>
      <c r="T15" s="41"/>
      <c r="U15" s="41"/>
      <c r="V15" s="149"/>
    </row>
    <row r="16" spans="1:22" ht="54" customHeight="1">
      <c r="A16" s="149"/>
      <c r="B16" s="154" t="s">
        <v>68</v>
      </c>
      <c r="C16" s="170" t="s">
        <v>69</v>
      </c>
      <c r="D16" s="173" t="s">
        <v>70</v>
      </c>
      <c r="E16" s="163"/>
      <c r="F16" s="63">
        <v>30</v>
      </c>
      <c r="G16" s="63">
        <v>22</v>
      </c>
      <c r="H16" s="63">
        <v>27</v>
      </c>
      <c r="I16" s="63">
        <v>75</v>
      </c>
      <c r="J16" s="63">
        <v>22</v>
      </c>
      <c r="K16" s="63">
        <v>2.5</v>
      </c>
      <c r="L16" s="64" t="s">
        <v>43</v>
      </c>
      <c r="M16" s="65" t="s">
        <v>15</v>
      </c>
      <c r="N16" s="66" t="s">
        <v>128</v>
      </c>
      <c r="O16" s="67">
        <v>500</v>
      </c>
      <c r="P16" s="67">
        <v>350</v>
      </c>
      <c r="Q16" s="67">
        <v>350</v>
      </c>
      <c r="R16" s="113">
        <f>SUM(O16*P16*Q16*7.85/1000000)</f>
        <v>480.8125</v>
      </c>
      <c r="S16" s="68">
        <f>SUM($O$2)</f>
        <v>0.65</v>
      </c>
      <c r="T16" s="120">
        <f t="shared" ref="T16:T72" si="0">SUM(R16*S16)</f>
        <v>312.52812499999999</v>
      </c>
      <c r="U16" s="67">
        <f>SUM($O$1)</f>
        <v>375</v>
      </c>
      <c r="V16" s="149"/>
    </row>
    <row r="17" spans="1:22" ht="54" customHeight="1">
      <c r="A17" s="149"/>
      <c r="B17" s="155"/>
      <c r="C17" s="171"/>
      <c r="D17" s="174"/>
      <c r="E17" s="164"/>
      <c r="F17" s="69"/>
      <c r="G17" s="63"/>
      <c r="H17" s="63"/>
      <c r="I17" s="63"/>
      <c r="J17" s="63"/>
      <c r="K17" s="70"/>
      <c r="L17" s="71"/>
      <c r="M17" s="72" t="s">
        <v>98</v>
      </c>
      <c r="N17" s="73" t="s">
        <v>129</v>
      </c>
      <c r="O17" s="67">
        <v>450</v>
      </c>
      <c r="P17" s="67">
        <v>300</v>
      </c>
      <c r="Q17" s="67">
        <v>350</v>
      </c>
      <c r="R17" s="113">
        <f t="shared" ref="R17:R20" si="1">SUM(O17*P17*Q17*7.85/1000000)</f>
        <v>370.91250000000002</v>
      </c>
      <c r="S17" s="68">
        <f t="shared" ref="S17:S20" si="2">SUM($O$2)</f>
        <v>0.65</v>
      </c>
      <c r="T17" s="120">
        <f t="shared" ref="T17:T20" si="3">SUM(R17*S17)</f>
        <v>241.09312500000001</v>
      </c>
      <c r="U17" s="67">
        <f t="shared" ref="U17:U20" si="4">SUM($O$1)</f>
        <v>375</v>
      </c>
      <c r="V17" s="149"/>
    </row>
    <row r="18" spans="1:22" ht="54" customHeight="1">
      <c r="A18" s="149"/>
      <c r="B18" s="155"/>
      <c r="C18" s="171"/>
      <c r="D18" s="174"/>
      <c r="E18" s="164"/>
      <c r="F18" s="69"/>
      <c r="G18" s="63"/>
      <c r="H18" s="63"/>
      <c r="I18" s="63"/>
      <c r="J18" s="63"/>
      <c r="K18" s="70"/>
      <c r="L18" s="71"/>
      <c r="M18" s="72"/>
      <c r="N18" s="73"/>
      <c r="O18" s="75"/>
      <c r="P18" s="75"/>
      <c r="Q18" s="75"/>
      <c r="R18" s="113">
        <f t="shared" si="1"/>
        <v>0</v>
      </c>
      <c r="S18" s="68">
        <f t="shared" si="2"/>
        <v>0.65</v>
      </c>
      <c r="T18" s="120">
        <f t="shared" si="3"/>
        <v>0</v>
      </c>
      <c r="U18" s="67">
        <f t="shared" si="4"/>
        <v>375</v>
      </c>
      <c r="V18" s="149"/>
    </row>
    <row r="19" spans="1:22" ht="54" customHeight="1">
      <c r="A19" s="149"/>
      <c r="B19" s="155"/>
      <c r="C19" s="171"/>
      <c r="D19" s="174"/>
      <c r="E19" s="164"/>
      <c r="F19" s="69"/>
      <c r="G19" s="98"/>
      <c r="H19" s="98"/>
      <c r="I19" s="98"/>
      <c r="J19" s="98"/>
      <c r="K19" s="70"/>
      <c r="L19" s="133"/>
      <c r="M19" s="134"/>
      <c r="N19" s="135"/>
      <c r="O19" s="136"/>
      <c r="P19" s="136"/>
      <c r="Q19" s="136"/>
      <c r="R19" s="113">
        <f t="shared" si="1"/>
        <v>0</v>
      </c>
      <c r="S19" s="68">
        <f t="shared" si="2"/>
        <v>0.65</v>
      </c>
      <c r="T19" s="120">
        <f t="shared" si="3"/>
        <v>0</v>
      </c>
      <c r="U19" s="67">
        <f t="shared" si="4"/>
        <v>375</v>
      </c>
      <c r="V19" s="149"/>
    </row>
    <row r="20" spans="1:22" ht="54" customHeight="1">
      <c r="A20" s="149"/>
      <c r="B20" s="155"/>
      <c r="C20" s="171"/>
      <c r="D20" s="174"/>
      <c r="E20" s="164"/>
      <c r="F20" s="69"/>
      <c r="G20" s="98"/>
      <c r="H20" s="98"/>
      <c r="I20" s="98"/>
      <c r="J20" s="98"/>
      <c r="K20" s="70"/>
      <c r="L20" s="133"/>
      <c r="M20" s="134"/>
      <c r="N20" s="135" t="s">
        <v>142</v>
      </c>
      <c r="O20" s="136"/>
      <c r="P20" s="136"/>
      <c r="Q20" s="136"/>
      <c r="R20" s="113">
        <f t="shared" si="1"/>
        <v>0</v>
      </c>
      <c r="S20" s="68">
        <f t="shared" si="2"/>
        <v>0.65</v>
      </c>
      <c r="T20" s="120">
        <f t="shared" si="3"/>
        <v>0</v>
      </c>
      <c r="U20" s="67">
        <f t="shared" si="4"/>
        <v>375</v>
      </c>
      <c r="V20" s="149"/>
    </row>
    <row r="21" spans="1:22" ht="54" customHeight="1" thickBot="1">
      <c r="A21" s="149"/>
      <c r="B21" s="156"/>
      <c r="C21" s="172"/>
      <c r="D21" s="175"/>
      <c r="E21" s="165"/>
      <c r="F21" s="76"/>
      <c r="G21" s="77"/>
      <c r="H21" s="77"/>
      <c r="I21" s="77"/>
      <c r="J21" s="77"/>
      <c r="K21" s="78"/>
      <c r="L21" s="79"/>
      <c r="M21" s="80"/>
      <c r="N21" s="81" t="s">
        <v>37</v>
      </c>
      <c r="O21" s="82"/>
      <c r="P21" s="82"/>
      <c r="Q21" s="82"/>
      <c r="R21" s="114"/>
      <c r="S21" s="83"/>
      <c r="T21" s="121"/>
      <c r="U21" s="84"/>
      <c r="V21" s="149"/>
    </row>
    <row r="22" spans="1:22" ht="54" customHeight="1">
      <c r="A22" s="149"/>
      <c r="B22" s="154" t="s">
        <v>147</v>
      </c>
      <c r="C22" s="176" t="s">
        <v>71</v>
      </c>
      <c r="D22" s="170" t="s">
        <v>72</v>
      </c>
      <c r="E22" s="161"/>
      <c r="F22" s="85">
        <v>429</v>
      </c>
      <c r="G22" s="86"/>
      <c r="H22" s="86">
        <v>28</v>
      </c>
      <c r="I22" s="86"/>
      <c r="J22" s="86"/>
      <c r="K22" s="87">
        <v>1.6</v>
      </c>
      <c r="L22" s="64" t="s">
        <v>43</v>
      </c>
      <c r="M22" s="65"/>
      <c r="N22" s="66"/>
      <c r="O22" s="67"/>
      <c r="P22" s="67"/>
      <c r="Q22" s="67"/>
      <c r="R22" s="113">
        <f t="shared" ref="R22:R26" si="5">SUM(O22*P22*Q22*7.85/1000000)</f>
        <v>0</v>
      </c>
      <c r="S22" s="68">
        <v>0.65</v>
      </c>
      <c r="T22" s="120">
        <f t="shared" si="0"/>
        <v>0</v>
      </c>
      <c r="U22" s="67">
        <f>SUM($O$1)</f>
        <v>375</v>
      </c>
      <c r="V22" s="149"/>
    </row>
    <row r="23" spans="1:22" ht="54" customHeight="1">
      <c r="A23" s="149"/>
      <c r="B23" s="155"/>
      <c r="C23" s="157"/>
      <c r="D23" s="171"/>
      <c r="E23" s="161"/>
      <c r="F23" s="69"/>
      <c r="G23" s="63"/>
      <c r="H23" s="63"/>
      <c r="I23" s="63"/>
      <c r="J23" s="63"/>
      <c r="K23" s="70"/>
      <c r="L23" s="71"/>
      <c r="M23" s="72"/>
      <c r="N23" s="73"/>
      <c r="O23" s="67"/>
      <c r="P23" s="67"/>
      <c r="Q23" s="67"/>
      <c r="R23" s="113">
        <f t="shared" si="5"/>
        <v>0</v>
      </c>
      <c r="S23" s="68">
        <v>0.65</v>
      </c>
      <c r="T23" s="120">
        <f t="shared" si="0"/>
        <v>0</v>
      </c>
      <c r="U23" s="67">
        <f t="shared" ref="U23:U26" si="6">SUM($O$1)</f>
        <v>375</v>
      </c>
      <c r="V23" s="149"/>
    </row>
    <row r="24" spans="1:22" ht="54" customHeight="1">
      <c r="A24" s="149"/>
      <c r="B24" s="155"/>
      <c r="C24" s="157"/>
      <c r="D24" s="171"/>
      <c r="E24" s="161"/>
      <c r="F24" s="69"/>
      <c r="G24" s="63"/>
      <c r="H24" s="63"/>
      <c r="I24" s="63"/>
      <c r="J24" s="63"/>
      <c r="K24" s="70"/>
      <c r="L24" s="71"/>
      <c r="M24" s="72"/>
      <c r="N24" s="73"/>
      <c r="O24" s="75"/>
      <c r="P24" s="75"/>
      <c r="Q24" s="75"/>
      <c r="R24" s="113">
        <f t="shared" si="5"/>
        <v>0</v>
      </c>
      <c r="S24" s="68">
        <v>0.65</v>
      </c>
      <c r="T24" s="120">
        <f t="shared" si="0"/>
        <v>0</v>
      </c>
      <c r="U24" s="67">
        <f t="shared" si="6"/>
        <v>375</v>
      </c>
      <c r="V24" s="149"/>
    </row>
    <row r="25" spans="1:22" ht="54" customHeight="1">
      <c r="A25" s="149"/>
      <c r="B25" s="155"/>
      <c r="C25" s="157"/>
      <c r="D25" s="171"/>
      <c r="E25" s="161"/>
      <c r="F25" s="69"/>
      <c r="G25" s="98"/>
      <c r="H25" s="98"/>
      <c r="I25" s="98"/>
      <c r="J25" s="98"/>
      <c r="K25" s="70"/>
      <c r="L25" s="133"/>
      <c r="M25" s="134"/>
      <c r="N25" s="135"/>
      <c r="O25" s="136"/>
      <c r="P25" s="136"/>
      <c r="Q25" s="136"/>
      <c r="R25" s="113">
        <f t="shared" si="5"/>
        <v>0</v>
      </c>
      <c r="S25" s="68">
        <f t="shared" ref="S25:S26" si="7">SUM($O$2)</f>
        <v>0.65</v>
      </c>
      <c r="T25" s="120">
        <f t="shared" si="0"/>
        <v>0</v>
      </c>
      <c r="U25" s="67">
        <f t="shared" si="6"/>
        <v>375</v>
      </c>
      <c r="V25" s="149"/>
    </row>
    <row r="26" spans="1:22" ht="54" customHeight="1">
      <c r="A26" s="149"/>
      <c r="B26" s="155"/>
      <c r="C26" s="157"/>
      <c r="D26" s="171"/>
      <c r="E26" s="161"/>
      <c r="F26" s="69"/>
      <c r="G26" s="98"/>
      <c r="H26" s="98"/>
      <c r="I26" s="98"/>
      <c r="J26" s="98"/>
      <c r="K26" s="70"/>
      <c r="L26" s="133"/>
      <c r="M26" s="134"/>
      <c r="N26" s="135" t="s">
        <v>142</v>
      </c>
      <c r="O26" s="136"/>
      <c r="P26" s="136"/>
      <c r="Q26" s="136"/>
      <c r="R26" s="113">
        <f t="shared" si="5"/>
        <v>0</v>
      </c>
      <c r="S26" s="68">
        <f t="shared" si="7"/>
        <v>0.65</v>
      </c>
      <c r="T26" s="120">
        <f t="shared" si="0"/>
        <v>0</v>
      </c>
      <c r="U26" s="67">
        <f t="shared" si="6"/>
        <v>375</v>
      </c>
      <c r="V26" s="149"/>
    </row>
    <row r="27" spans="1:22" ht="54" customHeight="1" thickBot="1">
      <c r="A27" s="149"/>
      <c r="B27" s="156"/>
      <c r="C27" s="158"/>
      <c r="D27" s="172"/>
      <c r="E27" s="162"/>
      <c r="F27" s="76"/>
      <c r="G27" s="77"/>
      <c r="H27" s="77"/>
      <c r="I27" s="77"/>
      <c r="J27" s="77"/>
      <c r="K27" s="78"/>
      <c r="L27" s="79"/>
      <c r="M27" s="80"/>
      <c r="N27" s="81" t="s">
        <v>37</v>
      </c>
      <c r="O27" s="82"/>
      <c r="P27" s="82"/>
      <c r="Q27" s="82"/>
      <c r="R27" s="114"/>
      <c r="S27" s="83"/>
      <c r="T27" s="121"/>
      <c r="U27" s="84"/>
      <c r="V27" s="149"/>
    </row>
    <row r="28" spans="1:22" ht="54" customHeight="1">
      <c r="A28" s="149"/>
      <c r="B28" s="154" t="s">
        <v>148</v>
      </c>
      <c r="C28" s="176" t="s">
        <v>53</v>
      </c>
      <c r="D28" s="170" t="s">
        <v>52</v>
      </c>
      <c r="E28" s="201"/>
      <c r="F28" s="99">
        <v>502</v>
      </c>
      <c r="G28" s="100">
        <v>88</v>
      </c>
      <c r="H28" s="100">
        <v>22</v>
      </c>
      <c r="I28" s="100">
        <v>550</v>
      </c>
      <c r="J28" s="100">
        <v>125</v>
      </c>
      <c r="K28" s="101">
        <v>1.2</v>
      </c>
      <c r="L28" s="31" t="s">
        <v>43</v>
      </c>
      <c r="M28" s="65" t="s">
        <v>15</v>
      </c>
      <c r="N28" s="66" t="s">
        <v>130</v>
      </c>
      <c r="O28" s="67">
        <v>1000</v>
      </c>
      <c r="P28" s="67">
        <v>500</v>
      </c>
      <c r="Q28" s="67">
        <v>400</v>
      </c>
      <c r="R28" s="113">
        <f t="shared" ref="R28:R32" si="8">SUM(O28*P28*Q28*7.85/1000000)</f>
        <v>1570</v>
      </c>
      <c r="S28" s="68">
        <v>0.65</v>
      </c>
      <c r="T28" s="120">
        <f t="shared" si="0"/>
        <v>1020.5</v>
      </c>
      <c r="U28" s="67">
        <f>SUM($O$1)</f>
        <v>375</v>
      </c>
      <c r="V28" s="149"/>
    </row>
    <row r="29" spans="1:22" ht="54" customHeight="1">
      <c r="A29" s="149"/>
      <c r="B29" s="155"/>
      <c r="C29" s="157"/>
      <c r="D29" s="171"/>
      <c r="E29" s="201"/>
      <c r="F29" s="34"/>
      <c r="G29" s="35"/>
      <c r="H29" s="35"/>
      <c r="I29" s="35"/>
      <c r="J29" s="35"/>
      <c r="K29" s="36"/>
      <c r="L29" s="30"/>
      <c r="M29" s="72" t="s">
        <v>98</v>
      </c>
      <c r="N29" s="73" t="s">
        <v>129</v>
      </c>
      <c r="O29" s="67">
        <v>900</v>
      </c>
      <c r="P29" s="67">
        <v>450</v>
      </c>
      <c r="Q29" s="67">
        <v>400</v>
      </c>
      <c r="R29" s="113">
        <f t="shared" si="8"/>
        <v>1271.7</v>
      </c>
      <c r="S29" s="68">
        <v>0.65</v>
      </c>
      <c r="T29" s="120">
        <f t="shared" si="0"/>
        <v>826.60500000000002</v>
      </c>
      <c r="U29" s="67">
        <f t="shared" ref="U29:U32" si="9">SUM($O$1)</f>
        <v>375</v>
      </c>
      <c r="V29" s="149"/>
    </row>
    <row r="30" spans="1:22" ht="54" customHeight="1">
      <c r="A30" s="149"/>
      <c r="B30" s="155"/>
      <c r="C30" s="157"/>
      <c r="D30" s="171"/>
      <c r="E30" s="201"/>
      <c r="F30" s="34"/>
      <c r="G30" s="35"/>
      <c r="H30" s="35"/>
      <c r="I30" s="35"/>
      <c r="J30" s="35"/>
      <c r="K30" s="36"/>
      <c r="L30" s="30"/>
      <c r="M30" s="65" t="s">
        <v>131</v>
      </c>
      <c r="N30" s="73" t="s">
        <v>132</v>
      </c>
      <c r="O30" s="75">
        <v>900</v>
      </c>
      <c r="P30" s="67">
        <v>500</v>
      </c>
      <c r="Q30" s="75">
        <v>450</v>
      </c>
      <c r="R30" s="113">
        <f t="shared" si="8"/>
        <v>1589.625</v>
      </c>
      <c r="S30" s="68">
        <v>0.65</v>
      </c>
      <c r="T30" s="120">
        <f t="shared" si="0"/>
        <v>1033.2562500000001</v>
      </c>
      <c r="U30" s="67">
        <f t="shared" si="9"/>
        <v>375</v>
      </c>
      <c r="V30" s="149"/>
    </row>
    <row r="31" spans="1:22" ht="54" customHeight="1">
      <c r="A31" s="149"/>
      <c r="B31" s="155"/>
      <c r="C31" s="157"/>
      <c r="D31" s="171"/>
      <c r="E31" s="201"/>
      <c r="F31" s="69"/>
      <c r="G31" s="98"/>
      <c r="H31" s="98"/>
      <c r="I31" s="98"/>
      <c r="J31" s="98"/>
      <c r="K31" s="70"/>
      <c r="L31" s="133"/>
      <c r="M31" s="134"/>
      <c r="N31" s="135"/>
      <c r="O31" s="136"/>
      <c r="P31" s="136"/>
      <c r="Q31" s="136"/>
      <c r="R31" s="113">
        <f t="shared" si="8"/>
        <v>0</v>
      </c>
      <c r="S31" s="68">
        <f t="shared" ref="S31:S32" si="10">SUM($O$2)</f>
        <v>0.65</v>
      </c>
      <c r="T31" s="120">
        <f t="shared" si="0"/>
        <v>0</v>
      </c>
      <c r="U31" s="67">
        <f t="shared" si="9"/>
        <v>375</v>
      </c>
      <c r="V31" s="149"/>
    </row>
    <row r="32" spans="1:22" ht="54" customHeight="1">
      <c r="A32" s="149"/>
      <c r="B32" s="155"/>
      <c r="C32" s="157"/>
      <c r="D32" s="171"/>
      <c r="E32" s="201"/>
      <c r="F32" s="69"/>
      <c r="G32" s="98"/>
      <c r="H32" s="98"/>
      <c r="I32" s="98"/>
      <c r="J32" s="98"/>
      <c r="K32" s="70"/>
      <c r="L32" s="133"/>
      <c r="M32" s="134"/>
      <c r="N32" s="135" t="s">
        <v>142</v>
      </c>
      <c r="O32" s="136"/>
      <c r="P32" s="136"/>
      <c r="Q32" s="136"/>
      <c r="R32" s="113">
        <f t="shared" si="8"/>
        <v>0</v>
      </c>
      <c r="S32" s="68">
        <f t="shared" si="10"/>
        <v>0.65</v>
      </c>
      <c r="T32" s="120">
        <f t="shared" si="0"/>
        <v>0</v>
      </c>
      <c r="U32" s="67">
        <f t="shared" si="9"/>
        <v>375</v>
      </c>
      <c r="V32" s="149"/>
    </row>
    <row r="33" spans="1:22" ht="54" customHeight="1" thickBot="1">
      <c r="A33" s="149"/>
      <c r="B33" s="156"/>
      <c r="C33" s="158"/>
      <c r="D33" s="172"/>
      <c r="E33" s="202"/>
      <c r="F33" s="34"/>
      <c r="G33" s="35"/>
      <c r="H33" s="35"/>
      <c r="I33" s="35"/>
      <c r="J33" s="35"/>
      <c r="K33" s="36"/>
      <c r="L33" s="32"/>
      <c r="M33" s="80"/>
      <c r="N33" s="81" t="s">
        <v>37</v>
      </c>
      <c r="O33" s="82"/>
      <c r="P33" s="82"/>
      <c r="Q33" s="82"/>
      <c r="R33" s="115"/>
      <c r="S33" s="29"/>
      <c r="T33" s="122"/>
      <c r="U33" s="33"/>
      <c r="V33" s="149"/>
    </row>
    <row r="34" spans="1:22" ht="54" customHeight="1">
      <c r="A34" s="149"/>
      <c r="B34" s="154" t="s">
        <v>149</v>
      </c>
      <c r="C34" s="176" t="s">
        <v>54</v>
      </c>
      <c r="D34" s="188" t="s">
        <v>73</v>
      </c>
      <c r="E34" s="161"/>
      <c r="F34" s="99">
        <v>502</v>
      </c>
      <c r="G34" s="100">
        <v>88</v>
      </c>
      <c r="H34" s="100">
        <v>22</v>
      </c>
      <c r="I34" s="100">
        <v>550</v>
      </c>
      <c r="J34" s="100">
        <v>125</v>
      </c>
      <c r="K34" s="101">
        <v>1.2</v>
      </c>
      <c r="L34" s="64" t="s">
        <v>43</v>
      </c>
      <c r="M34" s="65" t="s">
        <v>15</v>
      </c>
      <c r="N34" s="66" t="s">
        <v>133</v>
      </c>
      <c r="O34" s="67"/>
      <c r="P34" s="67"/>
      <c r="Q34" s="67"/>
      <c r="R34" s="113">
        <f t="shared" ref="R34:R38" si="11">SUM(O34*P34*Q34*7.85/1000000)</f>
        <v>0</v>
      </c>
      <c r="S34" s="68">
        <v>0.65</v>
      </c>
      <c r="T34" s="120">
        <f t="shared" si="0"/>
        <v>0</v>
      </c>
      <c r="U34" s="67">
        <f>SUM($O$1)</f>
        <v>375</v>
      </c>
      <c r="V34" s="149"/>
    </row>
    <row r="35" spans="1:22" ht="54" customHeight="1">
      <c r="A35" s="149"/>
      <c r="B35" s="155"/>
      <c r="C35" s="157"/>
      <c r="D35" s="159"/>
      <c r="E35" s="161"/>
      <c r="F35" s="69"/>
      <c r="G35" s="63"/>
      <c r="H35" s="63"/>
      <c r="I35" s="63"/>
      <c r="J35" s="63"/>
      <c r="K35" s="70"/>
      <c r="L35" s="71"/>
      <c r="M35" s="65" t="s">
        <v>98</v>
      </c>
      <c r="N35" s="73" t="s">
        <v>129</v>
      </c>
      <c r="O35" s="67">
        <v>900</v>
      </c>
      <c r="P35" s="67">
        <v>450</v>
      </c>
      <c r="Q35" s="67">
        <v>400</v>
      </c>
      <c r="R35" s="113">
        <f t="shared" si="11"/>
        <v>1271.7</v>
      </c>
      <c r="S35" s="68">
        <v>0.65</v>
      </c>
      <c r="T35" s="120">
        <f t="shared" si="0"/>
        <v>826.60500000000002</v>
      </c>
      <c r="U35" s="67">
        <f t="shared" ref="U35:U38" si="12">SUM($O$1)</f>
        <v>375</v>
      </c>
      <c r="V35" s="149"/>
    </row>
    <row r="36" spans="1:22" ht="54" customHeight="1">
      <c r="A36" s="149"/>
      <c r="B36" s="155"/>
      <c r="C36" s="157"/>
      <c r="D36" s="159"/>
      <c r="E36" s="161"/>
      <c r="F36" s="69"/>
      <c r="G36" s="63"/>
      <c r="H36" s="63"/>
      <c r="I36" s="63"/>
      <c r="J36" s="63"/>
      <c r="K36" s="70"/>
      <c r="L36" s="71"/>
      <c r="M36" s="65" t="s">
        <v>131</v>
      </c>
      <c r="N36" s="73" t="s">
        <v>132</v>
      </c>
      <c r="O36" s="75">
        <v>900</v>
      </c>
      <c r="P36" s="67">
        <v>500</v>
      </c>
      <c r="Q36" s="75">
        <v>450</v>
      </c>
      <c r="R36" s="113">
        <f t="shared" si="11"/>
        <v>1589.625</v>
      </c>
      <c r="S36" s="68">
        <v>0.65</v>
      </c>
      <c r="T36" s="120">
        <f t="shared" si="0"/>
        <v>1033.2562500000001</v>
      </c>
      <c r="U36" s="67">
        <f t="shared" si="12"/>
        <v>375</v>
      </c>
      <c r="V36" s="149"/>
    </row>
    <row r="37" spans="1:22" ht="54" customHeight="1">
      <c r="A37" s="149"/>
      <c r="B37" s="155"/>
      <c r="C37" s="157"/>
      <c r="D37" s="159"/>
      <c r="E37" s="161"/>
      <c r="F37" s="69"/>
      <c r="G37" s="98"/>
      <c r="H37" s="98"/>
      <c r="I37" s="98"/>
      <c r="J37" s="98"/>
      <c r="K37" s="70"/>
      <c r="L37" s="133"/>
      <c r="M37" s="134"/>
      <c r="N37" s="135"/>
      <c r="O37" s="136"/>
      <c r="P37" s="136"/>
      <c r="Q37" s="136"/>
      <c r="R37" s="113">
        <f t="shared" si="11"/>
        <v>0</v>
      </c>
      <c r="S37" s="68">
        <f t="shared" ref="S37:S38" si="13">SUM($O$2)</f>
        <v>0.65</v>
      </c>
      <c r="T37" s="120">
        <f t="shared" ref="T37:T38" si="14">SUM(R37*S37)</f>
        <v>0</v>
      </c>
      <c r="U37" s="67">
        <f t="shared" si="12"/>
        <v>375</v>
      </c>
      <c r="V37" s="149"/>
    </row>
    <row r="38" spans="1:22" ht="54" customHeight="1">
      <c r="A38" s="149"/>
      <c r="B38" s="155"/>
      <c r="C38" s="157"/>
      <c r="D38" s="159"/>
      <c r="E38" s="161"/>
      <c r="F38" s="69"/>
      <c r="G38" s="98"/>
      <c r="H38" s="98"/>
      <c r="I38" s="98"/>
      <c r="J38" s="98"/>
      <c r="K38" s="70"/>
      <c r="L38" s="133"/>
      <c r="M38" s="134"/>
      <c r="N38" s="135" t="s">
        <v>142</v>
      </c>
      <c r="O38" s="136"/>
      <c r="P38" s="136"/>
      <c r="Q38" s="136"/>
      <c r="R38" s="113">
        <f t="shared" si="11"/>
        <v>0</v>
      </c>
      <c r="S38" s="68">
        <f t="shared" si="13"/>
        <v>0.65</v>
      </c>
      <c r="T38" s="120">
        <f t="shared" si="14"/>
        <v>0</v>
      </c>
      <c r="U38" s="67">
        <f t="shared" si="12"/>
        <v>375</v>
      </c>
      <c r="V38" s="149"/>
    </row>
    <row r="39" spans="1:22" ht="54" customHeight="1" thickBot="1">
      <c r="A39" s="149"/>
      <c r="B39" s="156"/>
      <c r="C39" s="158"/>
      <c r="D39" s="160"/>
      <c r="E39" s="162"/>
      <c r="F39" s="76"/>
      <c r="G39" s="77"/>
      <c r="H39" s="77"/>
      <c r="I39" s="77"/>
      <c r="J39" s="77"/>
      <c r="K39" s="78"/>
      <c r="L39" s="79"/>
      <c r="M39" s="80"/>
      <c r="N39" s="81" t="s">
        <v>37</v>
      </c>
      <c r="O39" s="82"/>
      <c r="P39" s="82"/>
      <c r="Q39" s="82"/>
      <c r="R39" s="114"/>
      <c r="S39" s="83"/>
      <c r="T39" s="121"/>
      <c r="U39" s="84"/>
      <c r="V39" s="149"/>
    </row>
    <row r="40" spans="1:22" ht="54" customHeight="1">
      <c r="A40" s="149"/>
      <c r="B40" s="154" t="s">
        <v>150</v>
      </c>
      <c r="C40" s="176" t="s">
        <v>51</v>
      </c>
      <c r="D40" s="188" t="s">
        <v>50</v>
      </c>
      <c r="E40" s="161"/>
      <c r="F40" s="99">
        <v>98.5</v>
      </c>
      <c r="G40" s="100">
        <v>57</v>
      </c>
      <c r="H40" s="100">
        <v>6</v>
      </c>
      <c r="I40" s="100">
        <v>98.5</v>
      </c>
      <c r="J40" s="100">
        <v>57</v>
      </c>
      <c r="K40" s="101">
        <v>5</v>
      </c>
      <c r="L40" s="64" t="s">
        <v>43</v>
      </c>
      <c r="M40" s="65" t="s">
        <v>15</v>
      </c>
      <c r="N40" s="66" t="s">
        <v>130</v>
      </c>
      <c r="O40" s="67">
        <v>550</v>
      </c>
      <c r="P40" s="67">
        <v>450</v>
      </c>
      <c r="Q40" s="67">
        <v>350</v>
      </c>
      <c r="R40" s="113">
        <f t="shared" ref="R40:R44" si="15">SUM(O40*P40*Q40*7.85/1000000)</f>
        <v>680.00625000000002</v>
      </c>
      <c r="S40" s="68">
        <v>0.65</v>
      </c>
      <c r="T40" s="120">
        <f t="shared" si="0"/>
        <v>442.00406250000003</v>
      </c>
      <c r="U40" s="67">
        <f>SUM($O$1)</f>
        <v>375</v>
      </c>
      <c r="V40" s="149"/>
    </row>
    <row r="41" spans="1:22" ht="54" customHeight="1">
      <c r="A41" s="149"/>
      <c r="B41" s="155"/>
      <c r="C41" s="157"/>
      <c r="D41" s="159"/>
      <c r="E41" s="161"/>
      <c r="F41" s="69"/>
      <c r="G41" s="63"/>
      <c r="H41" s="63"/>
      <c r="I41" s="63"/>
      <c r="J41" s="63"/>
      <c r="K41" s="70"/>
      <c r="L41" s="71"/>
      <c r="M41" s="72" t="s">
        <v>98</v>
      </c>
      <c r="N41" s="73" t="s">
        <v>134</v>
      </c>
      <c r="O41" s="67">
        <v>500</v>
      </c>
      <c r="P41" s="67">
        <v>400</v>
      </c>
      <c r="Q41" s="67">
        <v>350</v>
      </c>
      <c r="R41" s="113">
        <f t="shared" si="15"/>
        <v>549.5</v>
      </c>
      <c r="S41" s="68">
        <v>0.65</v>
      </c>
      <c r="T41" s="120">
        <f t="shared" si="0"/>
        <v>357.17500000000001</v>
      </c>
      <c r="U41" s="67">
        <f t="shared" ref="U41:U44" si="16">SUM($O$1)</f>
        <v>375</v>
      </c>
      <c r="V41" s="149"/>
    </row>
    <row r="42" spans="1:22" ht="54" customHeight="1">
      <c r="A42" s="149"/>
      <c r="B42" s="155"/>
      <c r="C42" s="157"/>
      <c r="D42" s="159"/>
      <c r="E42" s="161"/>
      <c r="F42" s="69"/>
      <c r="G42" s="63"/>
      <c r="H42" s="63"/>
      <c r="I42" s="63"/>
      <c r="J42" s="63"/>
      <c r="K42" s="70"/>
      <c r="L42" s="71"/>
      <c r="M42" s="72"/>
      <c r="N42" s="73"/>
      <c r="O42" s="75"/>
      <c r="P42" s="75"/>
      <c r="Q42" s="75"/>
      <c r="R42" s="113">
        <f t="shared" si="15"/>
        <v>0</v>
      </c>
      <c r="S42" s="68">
        <v>0.65</v>
      </c>
      <c r="T42" s="120">
        <f t="shared" si="0"/>
        <v>0</v>
      </c>
      <c r="U42" s="67">
        <f t="shared" si="16"/>
        <v>375</v>
      </c>
      <c r="V42" s="149"/>
    </row>
    <row r="43" spans="1:22" ht="54" customHeight="1">
      <c r="A43" s="149"/>
      <c r="B43" s="155"/>
      <c r="C43" s="157"/>
      <c r="D43" s="159"/>
      <c r="E43" s="161"/>
      <c r="F43" s="69"/>
      <c r="G43" s="98"/>
      <c r="H43" s="98"/>
      <c r="I43" s="98"/>
      <c r="J43" s="98"/>
      <c r="K43" s="70"/>
      <c r="L43" s="133"/>
      <c r="M43" s="134"/>
      <c r="N43" s="135"/>
      <c r="O43" s="136"/>
      <c r="P43" s="136"/>
      <c r="Q43" s="136"/>
      <c r="R43" s="113">
        <f t="shared" si="15"/>
        <v>0</v>
      </c>
      <c r="S43" s="68">
        <f t="shared" ref="S43:S44" si="17">SUM($O$2)</f>
        <v>0.65</v>
      </c>
      <c r="T43" s="120">
        <f t="shared" si="0"/>
        <v>0</v>
      </c>
      <c r="U43" s="67">
        <f t="shared" si="16"/>
        <v>375</v>
      </c>
      <c r="V43" s="149"/>
    </row>
    <row r="44" spans="1:22" ht="54" customHeight="1">
      <c r="A44" s="149"/>
      <c r="B44" s="155"/>
      <c r="C44" s="157"/>
      <c r="D44" s="159"/>
      <c r="E44" s="161"/>
      <c r="F44" s="69"/>
      <c r="G44" s="98"/>
      <c r="H44" s="98"/>
      <c r="I44" s="98"/>
      <c r="J44" s="98"/>
      <c r="K44" s="70"/>
      <c r="L44" s="133"/>
      <c r="M44" s="134"/>
      <c r="N44" s="135" t="s">
        <v>142</v>
      </c>
      <c r="O44" s="136"/>
      <c r="P44" s="136"/>
      <c r="Q44" s="136"/>
      <c r="R44" s="113">
        <f t="shared" si="15"/>
        <v>0</v>
      </c>
      <c r="S44" s="68">
        <f t="shared" si="17"/>
        <v>0.65</v>
      </c>
      <c r="T44" s="120">
        <f t="shared" si="0"/>
        <v>0</v>
      </c>
      <c r="U44" s="67">
        <f t="shared" si="16"/>
        <v>375</v>
      </c>
      <c r="V44" s="149"/>
    </row>
    <row r="45" spans="1:22" ht="54" customHeight="1" thickBot="1">
      <c r="A45" s="149"/>
      <c r="B45" s="156"/>
      <c r="C45" s="158"/>
      <c r="D45" s="160"/>
      <c r="E45" s="162"/>
      <c r="F45" s="76"/>
      <c r="G45" s="77"/>
      <c r="H45" s="77"/>
      <c r="I45" s="77"/>
      <c r="J45" s="77"/>
      <c r="K45" s="78"/>
      <c r="L45" s="79"/>
      <c r="M45" s="80"/>
      <c r="N45" s="81" t="s">
        <v>37</v>
      </c>
      <c r="O45" s="82"/>
      <c r="P45" s="82"/>
      <c r="Q45" s="82"/>
      <c r="R45" s="114"/>
      <c r="S45" s="83"/>
      <c r="T45" s="121"/>
      <c r="U45" s="84"/>
      <c r="V45" s="149"/>
    </row>
    <row r="46" spans="1:22" ht="54" customHeight="1">
      <c r="A46" s="149"/>
      <c r="B46" s="154" t="s">
        <v>151</v>
      </c>
      <c r="C46" s="157" t="s">
        <v>86</v>
      </c>
      <c r="D46" s="159" t="s">
        <v>87</v>
      </c>
      <c r="E46" s="161"/>
      <c r="F46" s="85">
        <v>330</v>
      </c>
      <c r="G46" s="86">
        <v>19</v>
      </c>
      <c r="H46" s="86">
        <v>50</v>
      </c>
      <c r="I46" s="86">
        <v>330</v>
      </c>
      <c r="J46" s="86">
        <v>77</v>
      </c>
      <c r="K46" s="87">
        <v>3</v>
      </c>
      <c r="L46" s="64" t="s">
        <v>43</v>
      </c>
      <c r="M46" s="65" t="s">
        <v>15</v>
      </c>
      <c r="N46" s="66" t="s">
        <v>128</v>
      </c>
      <c r="O46" s="67">
        <v>900</v>
      </c>
      <c r="P46" s="67">
        <v>500</v>
      </c>
      <c r="Q46" s="67">
        <v>350</v>
      </c>
      <c r="R46" s="113">
        <f t="shared" ref="R46:R50" si="18">SUM(O46*P46*Q46*7.85/1000000)</f>
        <v>1236.375</v>
      </c>
      <c r="S46" s="68">
        <v>0.65</v>
      </c>
      <c r="T46" s="120">
        <f t="shared" si="0"/>
        <v>803.64375000000007</v>
      </c>
      <c r="U46" s="67">
        <f>SUM($O$1)</f>
        <v>375</v>
      </c>
      <c r="V46" s="149"/>
    </row>
    <row r="47" spans="1:22" ht="54" customHeight="1">
      <c r="A47" s="149"/>
      <c r="B47" s="155"/>
      <c r="C47" s="157"/>
      <c r="D47" s="159"/>
      <c r="E47" s="161"/>
      <c r="F47" s="69"/>
      <c r="G47" s="63"/>
      <c r="H47" s="63"/>
      <c r="I47" s="63"/>
      <c r="J47" s="63"/>
      <c r="K47" s="70"/>
      <c r="L47" s="71"/>
      <c r="M47" s="72" t="s">
        <v>98</v>
      </c>
      <c r="N47" s="73" t="s">
        <v>135</v>
      </c>
      <c r="O47" s="67">
        <v>800</v>
      </c>
      <c r="P47" s="67">
        <v>450</v>
      </c>
      <c r="Q47" s="67">
        <v>350</v>
      </c>
      <c r="R47" s="113">
        <f t="shared" si="18"/>
        <v>989.1</v>
      </c>
      <c r="S47" s="68">
        <v>0.65</v>
      </c>
      <c r="T47" s="120">
        <f t="shared" si="0"/>
        <v>642.91500000000008</v>
      </c>
      <c r="U47" s="67">
        <f t="shared" ref="U47:U50" si="19">SUM($O$1)</f>
        <v>375</v>
      </c>
      <c r="V47" s="149"/>
    </row>
    <row r="48" spans="1:22" ht="54" customHeight="1">
      <c r="A48" s="149"/>
      <c r="B48" s="155"/>
      <c r="C48" s="157"/>
      <c r="D48" s="159"/>
      <c r="E48" s="161"/>
      <c r="F48" s="69"/>
      <c r="G48" s="63"/>
      <c r="H48" s="63"/>
      <c r="I48" s="63"/>
      <c r="J48" s="63"/>
      <c r="K48" s="70"/>
      <c r="L48" s="71"/>
      <c r="M48" s="72" t="s">
        <v>131</v>
      </c>
      <c r="N48" s="73" t="s">
        <v>136</v>
      </c>
      <c r="O48" s="75">
        <v>750</v>
      </c>
      <c r="P48" s="75">
        <v>400</v>
      </c>
      <c r="Q48" s="75">
        <v>350</v>
      </c>
      <c r="R48" s="113">
        <f t="shared" si="18"/>
        <v>824.25</v>
      </c>
      <c r="S48" s="68">
        <v>0.65</v>
      </c>
      <c r="T48" s="120">
        <f t="shared" si="0"/>
        <v>535.76250000000005</v>
      </c>
      <c r="U48" s="67">
        <f t="shared" si="19"/>
        <v>375</v>
      </c>
      <c r="V48" s="149"/>
    </row>
    <row r="49" spans="1:22" ht="54" customHeight="1">
      <c r="A49" s="149"/>
      <c r="B49" s="155"/>
      <c r="C49" s="157"/>
      <c r="D49" s="159"/>
      <c r="E49" s="161"/>
      <c r="F49" s="69"/>
      <c r="G49" s="98"/>
      <c r="H49" s="98"/>
      <c r="I49" s="98"/>
      <c r="J49" s="98"/>
      <c r="K49" s="70"/>
      <c r="L49" s="133"/>
      <c r="M49" s="134"/>
      <c r="N49" s="135"/>
      <c r="O49" s="136"/>
      <c r="P49" s="136"/>
      <c r="Q49" s="136"/>
      <c r="R49" s="113">
        <f t="shared" si="18"/>
        <v>0</v>
      </c>
      <c r="S49" s="68">
        <f t="shared" ref="S49:S50" si="20">SUM($O$2)</f>
        <v>0.65</v>
      </c>
      <c r="T49" s="120">
        <f t="shared" ref="T49:T50" si="21">SUM(R49*S49)</f>
        <v>0</v>
      </c>
      <c r="U49" s="67">
        <f t="shared" si="19"/>
        <v>375</v>
      </c>
      <c r="V49" s="149"/>
    </row>
    <row r="50" spans="1:22" ht="54" customHeight="1">
      <c r="A50" s="149"/>
      <c r="B50" s="155"/>
      <c r="C50" s="157"/>
      <c r="D50" s="159"/>
      <c r="E50" s="161"/>
      <c r="F50" s="69"/>
      <c r="G50" s="98"/>
      <c r="H50" s="98"/>
      <c r="I50" s="98"/>
      <c r="J50" s="98"/>
      <c r="K50" s="70"/>
      <c r="L50" s="133"/>
      <c r="M50" s="134"/>
      <c r="N50" s="135" t="s">
        <v>142</v>
      </c>
      <c r="O50" s="136"/>
      <c r="P50" s="136"/>
      <c r="Q50" s="136"/>
      <c r="R50" s="113">
        <f t="shared" si="18"/>
        <v>0</v>
      </c>
      <c r="S50" s="68">
        <f t="shared" si="20"/>
        <v>0.65</v>
      </c>
      <c r="T50" s="120">
        <f t="shared" si="21"/>
        <v>0</v>
      </c>
      <c r="U50" s="67">
        <f t="shared" si="19"/>
        <v>375</v>
      </c>
      <c r="V50" s="149"/>
    </row>
    <row r="51" spans="1:22" ht="54" customHeight="1" thickBot="1">
      <c r="A51" s="149"/>
      <c r="B51" s="156"/>
      <c r="C51" s="158"/>
      <c r="D51" s="160"/>
      <c r="E51" s="162"/>
      <c r="F51" s="76"/>
      <c r="G51" s="77"/>
      <c r="H51" s="77"/>
      <c r="I51" s="77"/>
      <c r="J51" s="77"/>
      <c r="K51" s="78"/>
      <c r="L51" s="79"/>
      <c r="M51" s="80"/>
      <c r="N51" s="81" t="s">
        <v>37</v>
      </c>
      <c r="O51" s="82"/>
      <c r="P51" s="82"/>
      <c r="Q51" s="82"/>
      <c r="R51" s="114"/>
      <c r="S51" s="83"/>
      <c r="T51" s="121"/>
      <c r="U51" s="84"/>
      <c r="V51" s="149"/>
    </row>
    <row r="52" spans="1:22" ht="54" customHeight="1">
      <c r="A52" s="149"/>
      <c r="B52" s="154" t="s">
        <v>152</v>
      </c>
      <c r="C52" s="157" t="s">
        <v>88</v>
      </c>
      <c r="D52" s="159" t="s">
        <v>89</v>
      </c>
      <c r="E52" s="161"/>
      <c r="F52" s="85">
        <v>12</v>
      </c>
      <c r="G52" s="86">
        <v>12</v>
      </c>
      <c r="H52" s="86">
        <v>10</v>
      </c>
      <c r="I52" s="86"/>
      <c r="J52" s="86"/>
      <c r="K52" s="87"/>
      <c r="L52" s="64" t="s">
        <v>43</v>
      </c>
      <c r="M52" s="65" t="s">
        <v>15</v>
      </c>
      <c r="N52" s="66"/>
      <c r="O52" s="67"/>
      <c r="P52" s="67"/>
      <c r="Q52" s="67"/>
      <c r="R52" s="113">
        <f t="shared" ref="R52:R56" si="22">SUM(O52*P52*Q52*7.85/1000000)</f>
        <v>0</v>
      </c>
      <c r="S52" s="68">
        <v>0.65</v>
      </c>
      <c r="T52" s="120">
        <f t="shared" si="0"/>
        <v>0</v>
      </c>
      <c r="U52" s="67">
        <f>SUM($O$1)</f>
        <v>375</v>
      </c>
      <c r="V52" s="149"/>
    </row>
    <row r="53" spans="1:22" ht="54" customHeight="1">
      <c r="A53" s="149"/>
      <c r="B53" s="155"/>
      <c r="C53" s="157"/>
      <c r="D53" s="159"/>
      <c r="E53" s="161"/>
      <c r="F53" s="69"/>
      <c r="G53" s="63"/>
      <c r="H53" s="63"/>
      <c r="I53" s="63"/>
      <c r="J53" s="63"/>
      <c r="K53" s="70"/>
      <c r="L53" s="71"/>
      <c r="M53" s="72"/>
      <c r="N53" s="73"/>
      <c r="O53" s="67"/>
      <c r="P53" s="67"/>
      <c r="Q53" s="67"/>
      <c r="R53" s="113">
        <f t="shared" si="22"/>
        <v>0</v>
      </c>
      <c r="S53" s="68">
        <v>0.65</v>
      </c>
      <c r="T53" s="120">
        <f t="shared" si="0"/>
        <v>0</v>
      </c>
      <c r="U53" s="67">
        <f t="shared" ref="U53:U56" si="23">SUM($O$1)</f>
        <v>375</v>
      </c>
      <c r="V53" s="149"/>
    </row>
    <row r="54" spans="1:22" ht="54" customHeight="1">
      <c r="A54" s="149"/>
      <c r="B54" s="155"/>
      <c r="C54" s="157"/>
      <c r="D54" s="159"/>
      <c r="E54" s="161"/>
      <c r="F54" s="69"/>
      <c r="G54" s="63"/>
      <c r="H54" s="63"/>
      <c r="I54" s="63"/>
      <c r="J54" s="63"/>
      <c r="K54" s="70"/>
      <c r="L54" s="71"/>
      <c r="M54" s="72"/>
      <c r="N54" s="73"/>
      <c r="O54" s="75"/>
      <c r="P54" s="67"/>
      <c r="Q54" s="75"/>
      <c r="R54" s="113">
        <f t="shared" si="22"/>
        <v>0</v>
      </c>
      <c r="S54" s="68">
        <v>0.65</v>
      </c>
      <c r="T54" s="120">
        <f t="shared" si="0"/>
        <v>0</v>
      </c>
      <c r="U54" s="67">
        <f t="shared" si="23"/>
        <v>375</v>
      </c>
      <c r="V54" s="149"/>
    </row>
    <row r="55" spans="1:22" ht="54" customHeight="1">
      <c r="A55" s="149"/>
      <c r="B55" s="155"/>
      <c r="C55" s="157"/>
      <c r="D55" s="159"/>
      <c r="E55" s="161"/>
      <c r="F55" s="69"/>
      <c r="G55" s="98"/>
      <c r="H55" s="98"/>
      <c r="I55" s="98"/>
      <c r="J55" s="98"/>
      <c r="K55" s="70"/>
      <c r="L55" s="133"/>
      <c r="M55" s="134"/>
      <c r="N55" s="135"/>
      <c r="O55" s="136"/>
      <c r="P55" s="136"/>
      <c r="Q55" s="136"/>
      <c r="R55" s="113">
        <f t="shared" si="22"/>
        <v>0</v>
      </c>
      <c r="S55" s="68">
        <f t="shared" ref="S55:S56" si="24">SUM($O$2)</f>
        <v>0.65</v>
      </c>
      <c r="T55" s="120">
        <f t="shared" si="0"/>
        <v>0</v>
      </c>
      <c r="U55" s="67">
        <f t="shared" si="23"/>
        <v>375</v>
      </c>
      <c r="V55" s="149"/>
    </row>
    <row r="56" spans="1:22" ht="54" customHeight="1">
      <c r="A56" s="149"/>
      <c r="B56" s="155"/>
      <c r="C56" s="157"/>
      <c r="D56" s="159"/>
      <c r="E56" s="161"/>
      <c r="F56" s="69"/>
      <c r="G56" s="98"/>
      <c r="H56" s="98"/>
      <c r="I56" s="98"/>
      <c r="J56" s="98"/>
      <c r="K56" s="70"/>
      <c r="L56" s="133"/>
      <c r="M56" s="134"/>
      <c r="N56" s="135" t="s">
        <v>142</v>
      </c>
      <c r="O56" s="136"/>
      <c r="P56" s="136"/>
      <c r="Q56" s="136"/>
      <c r="R56" s="113">
        <f t="shared" si="22"/>
        <v>0</v>
      </c>
      <c r="S56" s="68">
        <f t="shared" si="24"/>
        <v>0.65</v>
      </c>
      <c r="T56" s="120">
        <f t="shared" si="0"/>
        <v>0</v>
      </c>
      <c r="U56" s="67">
        <f t="shared" si="23"/>
        <v>375</v>
      </c>
      <c r="V56" s="149"/>
    </row>
    <row r="57" spans="1:22" ht="54" customHeight="1" thickBot="1">
      <c r="A57" s="149"/>
      <c r="B57" s="156"/>
      <c r="C57" s="158"/>
      <c r="D57" s="160"/>
      <c r="E57" s="162"/>
      <c r="F57" s="76"/>
      <c r="G57" s="77"/>
      <c r="H57" s="77"/>
      <c r="I57" s="77"/>
      <c r="J57" s="77"/>
      <c r="K57" s="78"/>
      <c r="L57" s="79"/>
      <c r="M57" s="80"/>
      <c r="N57" s="81" t="s">
        <v>37</v>
      </c>
      <c r="O57" s="82"/>
      <c r="P57" s="82"/>
      <c r="Q57" s="82"/>
      <c r="R57" s="114"/>
      <c r="S57" s="83"/>
      <c r="T57" s="121"/>
      <c r="U57" s="84"/>
      <c r="V57" s="149"/>
    </row>
    <row r="58" spans="1:22" ht="54" customHeight="1">
      <c r="A58" s="149"/>
      <c r="B58" s="154" t="s">
        <v>153</v>
      </c>
      <c r="C58" s="157" t="s">
        <v>90</v>
      </c>
      <c r="D58" s="159" t="s">
        <v>91</v>
      </c>
      <c r="E58" s="161"/>
      <c r="F58" s="85">
        <v>289</v>
      </c>
      <c r="G58" s="86">
        <v>33</v>
      </c>
      <c r="H58" s="86">
        <v>12</v>
      </c>
      <c r="I58" s="86">
        <v>289</v>
      </c>
      <c r="J58" s="86">
        <v>40</v>
      </c>
      <c r="K58" s="87">
        <v>3</v>
      </c>
      <c r="L58" s="64" t="s">
        <v>43</v>
      </c>
      <c r="M58" s="65" t="s">
        <v>15</v>
      </c>
      <c r="N58" s="66" t="s">
        <v>128</v>
      </c>
      <c r="O58" s="67">
        <v>750</v>
      </c>
      <c r="P58" s="67">
        <v>400</v>
      </c>
      <c r="Q58" s="67">
        <v>350</v>
      </c>
      <c r="R58" s="113">
        <f t="shared" ref="R58:R62" si="25">SUM(O58*P58*Q58*7.85/1000000)</f>
        <v>824.25</v>
      </c>
      <c r="S58" s="68">
        <v>0.65</v>
      </c>
      <c r="T58" s="120">
        <f t="shared" si="0"/>
        <v>535.76250000000005</v>
      </c>
      <c r="U58" s="67">
        <f>SUM($O$1)</f>
        <v>375</v>
      </c>
      <c r="V58" s="149"/>
    </row>
    <row r="59" spans="1:22" ht="54" customHeight="1">
      <c r="A59" s="149"/>
      <c r="B59" s="155"/>
      <c r="C59" s="157"/>
      <c r="D59" s="159"/>
      <c r="E59" s="161"/>
      <c r="F59" s="69"/>
      <c r="G59" s="63"/>
      <c r="H59" s="63"/>
      <c r="I59" s="63"/>
      <c r="J59" s="63"/>
      <c r="K59" s="70"/>
      <c r="L59" s="71"/>
      <c r="M59" s="72" t="s">
        <v>98</v>
      </c>
      <c r="N59" s="73" t="s">
        <v>129</v>
      </c>
      <c r="O59" s="67">
        <v>700</v>
      </c>
      <c r="P59" s="67">
        <v>350</v>
      </c>
      <c r="Q59" s="67">
        <v>350</v>
      </c>
      <c r="R59" s="113">
        <f t="shared" si="25"/>
        <v>673.13750000000005</v>
      </c>
      <c r="S59" s="68">
        <v>0.65</v>
      </c>
      <c r="T59" s="120">
        <f t="shared" si="0"/>
        <v>437.53937500000006</v>
      </c>
      <c r="U59" s="67">
        <f t="shared" ref="U59:U62" si="26">SUM($O$1)</f>
        <v>375</v>
      </c>
      <c r="V59" s="149"/>
    </row>
    <row r="60" spans="1:22" ht="54" customHeight="1">
      <c r="A60" s="149"/>
      <c r="B60" s="155"/>
      <c r="C60" s="157"/>
      <c r="D60" s="159"/>
      <c r="E60" s="161"/>
      <c r="F60" s="69"/>
      <c r="G60" s="63"/>
      <c r="H60" s="63"/>
      <c r="I60" s="63"/>
      <c r="J60" s="63"/>
      <c r="K60" s="70"/>
      <c r="L60" s="71"/>
      <c r="M60" s="72"/>
      <c r="N60" s="73"/>
      <c r="O60" s="75"/>
      <c r="P60" s="75"/>
      <c r="Q60" s="75"/>
      <c r="R60" s="113">
        <f t="shared" si="25"/>
        <v>0</v>
      </c>
      <c r="S60" s="68">
        <v>0.65</v>
      </c>
      <c r="T60" s="120">
        <f t="shared" si="0"/>
        <v>0</v>
      </c>
      <c r="U60" s="67">
        <f t="shared" si="26"/>
        <v>375</v>
      </c>
      <c r="V60" s="149"/>
    </row>
    <row r="61" spans="1:22" ht="54" customHeight="1">
      <c r="A61" s="149"/>
      <c r="B61" s="155"/>
      <c r="C61" s="157"/>
      <c r="D61" s="159"/>
      <c r="E61" s="161"/>
      <c r="F61" s="69"/>
      <c r="G61" s="98"/>
      <c r="H61" s="98"/>
      <c r="I61" s="98"/>
      <c r="J61" s="98"/>
      <c r="K61" s="70"/>
      <c r="L61" s="133"/>
      <c r="M61" s="134"/>
      <c r="N61" s="135"/>
      <c r="O61" s="136"/>
      <c r="P61" s="136"/>
      <c r="Q61" s="136"/>
      <c r="R61" s="113">
        <f t="shared" si="25"/>
        <v>0</v>
      </c>
      <c r="S61" s="68">
        <f t="shared" ref="S61:S62" si="27">SUM($O$2)</f>
        <v>0.65</v>
      </c>
      <c r="T61" s="120">
        <f t="shared" ref="T61:T62" si="28">SUM(R61*S61)</f>
        <v>0</v>
      </c>
      <c r="U61" s="67">
        <f t="shared" si="26"/>
        <v>375</v>
      </c>
      <c r="V61" s="149"/>
    </row>
    <row r="62" spans="1:22" ht="54" customHeight="1">
      <c r="A62" s="149"/>
      <c r="B62" s="155"/>
      <c r="C62" s="157"/>
      <c r="D62" s="159"/>
      <c r="E62" s="161"/>
      <c r="F62" s="69"/>
      <c r="G62" s="98"/>
      <c r="H62" s="98"/>
      <c r="I62" s="98"/>
      <c r="J62" s="98"/>
      <c r="K62" s="70"/>
      <c r="L62" s="133"/>
      <c r="M62" s="134"/>
      <c r="N62" s="135" t="s">
        <v>142</v>
      </c>
      <c r="O62" s="136"/>
      <c r="P62" s="136"/>
      <c r="Q62" s="136"/>
      <c r="R62" s="113">
        <f t="shared" si="25"/>
        <v>0</v>
      </c>
      <c r="S62" s="68">
        <f t="shared" si="27"/>
        <v>0.65</v>
      </c>
      <c r="T62" s="120">
        <f t="shared" si="28"/>
        <v>0</v>
      </c>
      <c r="U62" s="67">
        <f t="shared" si="26"/>
        <v>375</v>
      </c>
      <c r="V62" s="149"/>
    </row>
    <row r="63" spans="1:22" ht="54" customHeight="1" thickBot="1">
      <c r="A63" s="149"/>
      <c r="B63" s="156"/>
      <c r="C63" s="158"/>
      <c r="D63" s="160"/>
      <c r="E63" s="162"/>
      <c r="F63" s="76"/>
      <c r="G63" s="77"/>
      <c r="H63" s="77"/>
      <c r="I63" s="77"/>
      <c r="J63" s="77"/>
      <c r="K63" s="78"/>
      <c r="L63" s="79"/>
      <c r="M63" s="80"/>
      <c r="N63" s="81" t="s">
        <v>37</v>
      </c>
      <c r="O63" s="82"/>
      <c r="P63" s="82"/>
      <c r="Q63" s="82"/>
      <c r="R63" s="114"/>
      <c r="S63" s="83"/>
      <c r="T63" s="121"/>
      <c r="U63" s="84"/>
      <c r="V63" s="149"/>
    </row>
    <row r="64" spans="1:22" ht="54" customHeight="1">
      <c r="A64" s="149"/>
      <c r="B64" s="154" t="s">
        <v>154</v>
      </c>
      <c r="C64" s="157" t="s">
        <v>92</v>
      </c>
      <c r="D64" s="159" t="s">
        <v>93</v>
      </c>
      <c r="E64" s="161"/>
      <c r="F64" s="85">
        <v>107</v>
      </c>
      <c r="G64" s="86">
        <v>23</v>
      </c>
      <c r="H64" s="86"/>
      <c r="I64" s="86"/>
      <c r="J64" s="86"/>
      <c r="K64" s="87"/>
      <c r="L64" s="64" t="s">
        <v>43</v>
      </c>
      <c r="M64" s="65" t="s">
        <v>15</v>
      </c>
      <c r="N64" s="66"/>
      <c r="O64" s="67"/>
      <c r="P64" s="67"/>
      <c r="Q64" s="67"/>
      <c r="R64" s="113">
        <f t="shared" ref="R64:R68" si="29">SUM(O64*P64*Q64*7.85/1000000)</f>
        <v>0</v>
      </c>
      <c r="S64" s="68">
        <v>0.65</v>
      </c>
      <c r="T64" s="120">
        <f t="shared" si="0"/>
        <v>0</v>
      </c>
      <c r="U64" s="67">
        <f>SUM($O$1)</f>
        <v>375</v>
      </c>
      <c r="V64" s="149"/>
    </row>
    <row r="65" spans="1:22" ht="54" customHeight="1">
      <c r="A65" s="149"/>
      <c r="B65" s="155"/>
      <c r="C65" s="157"/>
      <c r="D65" s="159"/>
      <c r="E65" s="161"/>
      <c r="F65" s="69"/>
      <c r="G65" s="63"/>
      <c r="H65" s="63"/>
      <c r="I65" s="63"/>
      <c r="J65" s="63"/>
      <c r="K65" s="70"/>
      <c r="L65" s="71"/>
      <c r="M65" s="72"/>
      <c r="N65" s="73"/>
      <c r="O65" s="67"/>
      <c r="P65" s="67"/>
      <c r="Q65" s="67"/>
      <c r="R65" s="113">
        <f t="shared" si="29"/>
        <v>0</v>
      </c>
      <c r="S65" s="68">
        <v>0.65</v>
      </c>
      <c r="T65" s="120">
        <f t="shared" si="0"/>
        <v>0</v>
      </c>
      <c r="U65" s="67">
        <f t="shared" ref="U65:U68" si="30">SUM($O$1)</f>
        <v>375</v>
      </c>
      <c r="V65" s="149"/>
    </row>
    <row r="66" spans="1:22" ht="54" customHeight="1">
      <c r="A66" s="149"/>
      <c r="B66" s="155"/>
      <c r="C66" s="157"/>
      <c r="D66" s="159"/>
      <c r="E66" s="161"/>
      <c r="F66" s="69"/>
      <c r="G66" s="63"/>
      <c r="H66" s="63"/>
      <c r="I66" s="63"/>
      <c r="J66" s="63"/>
      <c r="K66" s="70"/>
      <c r="L66" s="71"/>
      <c r="M66" s="72"/>
      <c r="N66" s="73"/>
      <c r="O66" s="67"/>
      <c r="P66" s="67"/>
      <c r="Q66" s="67"/>
      <c r="R66" s="113">
        <f t="shared" si="29"/>
        <v>0</v>
      </c>
      <c r="S66" s="68">
        <v>0.65</v>
      </c>
      <c r="T66" s="120">
        <f t="shared" si="0"/>
        <v>0</v>
      </c>
      <c r="U66" s="67">
        <f t="shared" si="30"/>
        <v>375</v>
      </c>
      <c r="V66" s="149"/>
    </row>
    <row r="67" spans="1:22" ht="54" customHeight="1">
      <c r="A67" s="149"/>
      <c r="B67" s="155"/>
      <c r="C67" s="157"/>
      <c r="D67" s="159"/>
      <c r="E67" s="161"/>
      <c r="F67" s="69"/>
      <c r="G67" s="98"/>
      <c r="H67" s="98"/>
      <c r="I67" s="98"/>
      <c r="J67" s="98"/>
      <c r="K67" s="70"/>
      <c r="L67" s="133"/>
      <c r="M67" s="134"/>
      <c r="N67" s="135"/>
      <c r="O67" s="136"/>
      <c r="P67" s="136"/>
      <c r="Q67" s="136"/>
      <c r="R67" s="113">
        <f t="shared" si="29"/>
        <v>0</v>
      </c>
      <c r="S67" s="68">
        <f t="shared" ref="S67:S68" si="31">SUM($O$2)</f>
        <v>0.65</v>
      </c>
      <c r="T67" s="120">
        <f t="shared" si="0"/>
        <v>0</v>
      </c>
      <c r="U67" s="67">
        <f t="shared" si="30"/>
        <v>375</v>
      </c>
      <c r="V67" s="149"/>
    </row>
    <row r="68" spans="1:22" ht="54" customHeight="1">
      <c r="A68" s="149"/>
      <c r="B68" s="155"/>
      <c r="C68" s="157"/>
      <c r="D68" s="159"/>
      <c r="E68" s="161"/>
      <c r="F68" s="69"/>
      <c r="G68" s="98"/>
      <c r="H68" s="98"/>
      <c r="I68" s="98"/>
      <c r="J68" s="98"/>
      <c r="K68" s="70"/>
      <c r="L68" s="133"/>
      <c r="M68" s="134"/>
      <c r="N68" s="135" t="s">
        <v>142</v>
      </c>
      <c r="O68" s="136"/>
      <c r="P68" s="136"/>
      <c r="Q68" s="136"/>
      <c r="R68" s="113">
        <f t="shared" si="29"/>
        <v>0</v>
      </c>
      <c r="S68" s="68">
        <f t="shared" si="31"/>
        <v>0.65</v>
      </c>
      <c r="T68" s="120">
        <f t="shared" si="0"/>
        <v>0</v>
      </c>
      <c r="U68" s="67">
        <f t="shared" si="30"/>
        <v>375</v>
      </c>
      <c r="V68" s="149"/>
    </row>
    <row r="69" spans="1:22" ht="54" customHeight="1" thickBot="1">
      <c r="A69" s="149"/>
      <c r="B69" s="156"/>
      <c r="C69" s="158"/>
      <c r="D69" s="160"/>
      <c r="E69" s="162"/>
      <c r="F69" s="76"/>
      <c r="G69" s="77"/>
      <c r="H69" s="77"/>
      <c r="I69" s="77"/>
      <c r="J69" s="77"/>
      <c r="K69" s="78"/>
      <c r="L69" s="79"/>
      <c r="M69" s="80"/>
      <c r="N69" s="81" t="s">
        <v>37</v>
      </c>
      <c r="O69" s="82"/>
      <c r="P69" s="82"/>
      <c r="Q69" s="82"/>
      <c r="R69" s="114"/>
      <c r="S69" s="83"/>
      <c r="T69" s="121"/>
      <c r="U69" s="84"/>
      <c r="V69" s="149"/>
    </row>
    <row r="70" spans="1:22" ht="54" customHeight="1">
      <c r="A70" s="149"/>
      <c r="B70" s="154" t="s">
        <v>15</v>
      </c>
      <c r="C70" s="157" t="s">
        <v>94</v>
      </c>
      <c r="D70" s="159" t="s">
        <v>95</v>
      </c>
      <c r="E70" s="161"/>
      <c r="F70" s="99">
        <v>235</v>
      </c>
      <c r="G70" s="100">
        <v>6</v>
      </c>
      <c r="H70" s="100">
        <v>18</v>
      </c>
      <c r="I70" s="100">
        <v>250</v>
      </c>
      <c r="J70" s="100"/>
      <c r="K70" s="101">
        <v>6</v>
      </c>
      <c r="L70" s="64" t="s">
        <v>43</v>
      </c>
      <c r="M70" s="65" t="s">
        <v>15</v>
      </c>
      <c r="N70" s="66" t="s">
        <v>137</v>
      </c>
      <c r="O70" s="67">
        <v>250</v>
      </c>
      <c r="P70" s="67">
        <v>200</v>
      </c>
      <c r="Q70" s="67">
        <v>250</v>
      </c>
      <c r="R70" s="113">
        <f t="shared" ref="R70:R72" si="32">SUM(O70*P70*Q70*7.85/1000000)</f>
        <v>98.125</v>
      </c>
      <c r="S70" s="68">
        <v>0.65</v>
      </c>
      <c r="T70" s="120">
        <f t="shared" si="0"/>
        <v>63.78125</v>
      </c>
      <c r="U70" s="67">
        <f>SUM($O$1)</f>
        <v>375</v>
      </c>
      <c r="V70" s="149"/>
    </row>
    <row r="71" spans="1:22" ht="54" customHeight="1">
      <c r="A71" s="149"/>
      <c r="B71" s="155"/>
      <c r="C71" s="157"/>
      <c r="D71" s="159"/>
      <c r="E71" s="161"/>
      <c r="F71" s="69">
        <v>233</v>
      </c>
      <c r="G71" s="98">
        <v>6</v>
      </c>
      <c r="H71" s="98">
        <v>18</v>
      </c>
      <c r="I71" s="98">
        <v>248</v>
      </c>
      <c r="J71" s="98"/>
      <c r="K71" s="70">
        <v>6</v>
      </c>
      <c r="L71" s="71"/>
      <c r="M71" s="72"/>
      <c r="N71" s="73"/>
      <c r="O71" s="67"/>
      <c r="P71" s="67"/>
      <c r="Q71" s="67"/>
      <c r="R71" s="113">
        <f t="shared" si="32"/>
        <v>0</v>
      </c>
      <c r="S71" s="68">
        <v>0.65</v>
      </c>
      <c r="T71" s="120">
        <f t="shared" si="0"/>
        <v>0</v>
      </c>
      <c r="U71" s="67">
        <f t="shared" ref="U71:U72" si="33">SUM($O$1)</f>
        <v>375</v>
      </c>
      <c r="V71" s="149"/>
    </row>
    <row r="72" spans="1:22" ht="54" customHeight="1">
      <c r="A72" s="149"/>
      <c r="B72" s="155"/>
      <c r="C72" s="157"/>
      <c r="D72" s="159"/>
      <c r="E72" s="161"/>
      <c r="F72" s="69">
        <v>163</v>
      </c>
      <c r="G72" s="98">
        <v>8</v>
      </c>
      <c r="H72" s="98">
        <v>19</v>
      </c>
      <c r="I72" s="98">
        <v>177</v>
      </c>
      <c r="J72" s="98"/>
      <c r="K72" s="70">
        <v>8</v>
      </c>
      <c r="L72" s="71"/>
      <c r="M72" s="72"/>
      <c r="N72" s="73" t="s">
        <v>137</v>
      </c>
      <c r="O72" s="75">
        <v>250</v>
      </c>
      <c r="P72" s="75">
        <v>200</v>
      </c>
      <c r="Q72" s="75">
        <v>250</v>
      </c>
      <c r="R72" s="113">
        <f t="shared" si="32"/>
        <v>98.125</v>
      </c>
      <c r="S72" s="68">
        <v>0.65</v>
      </c>
      <c r="T72" s="120">
        <f t="shared" si="0"/>
        <v>63.78125</v>
      </c>
      <c r="U72" s="67">
        <f t="shared" si="33"/>
        <v>375</v>
      </c>
      <c r="V72" s="149"/>
    </row>
    <row r="73" spans="1:22" ht="54" customHeight="1">
      <c r="A73" s="149"/>
      <c r="B73" s="155"/>
      <c r="C73" s="157"/>
      <c r="D73" s="159"/>
      <c r="E73" s="161"/>
      <c r="F73" s="69">
        <v>230</v>
      </c>
      <c r="G73" s="98">
        <v>8</v>
      </c>
      <c r="H73" s="98">
        <v>19</v>
      </c>
      <c r="I73" s="98">
        <v>243</v>
      </c>
      <c r="J73" s="98"/>
      <c r="K73" s="70">
        <v>8</v>
      </c>
      <c r="L73" s="71"/>
      <c r="M73" s="72"/>
      <c r="N73" s="73"/>
      <c r="O73" s="75"/>
      <c r="P73" s="75"/>
      <c r="Q73" s="75"/>
      <c r="R73" s="113">
        <f>SUM(O73*P73*Q73*7.85/1000000)</f>
        <v>0</v>
      </c>
      <c r="S73" s="74"/>
      <c r="T73" s="123"/>
      <c r="U73" s="75"/>
      <c r="V73" s="149"/>
    </row>
    <row r="74" spans="1:22" ht="54" customHeight="1">
      <c r="A74" s="149"/>
      <c r="B74" s="155"/>
      <c r="C74" s="157"/>
      <c r="D74" s="159"/>
      <c r="E74" s="161"/>
      <c r="F74" s="69"/>
      <c r="G74" s="98"/>
      <c r="H74" s="98"/>
      <c r="I74" s="98"/>
      <c r="J74" s="98"/>
      <c r="K74" s="70"/>
      <c r="L74" s="133"/>
      <c r="M74" s="134"/>
      <c r="N74" s="135" t="s">
        <v>143</v>
      </c>
      <c r="O74" s="136"/>
      <c r="P74" s="136"/>
      <c r="Q74" s="136"/>
      <c r="R74" s="113">
        <f t="shared" ref="R74" si="34">SUM(O74*P74*Q74*7.85/1000000)</f>
        <v>0</v>
      </c>
      <c r="S74" s="68">
        <f t="shared" ref="S74" si="35">SUM($O$2)</f>
        <v>0.65</v>
      </c>
      <c r="T74" s="120">
        <f t="shared" ref="T74" si="36">SUM(R74*S74)</f>
        <v>0</v>
      </c>
      <c r="U74" s="67">
        <f t="shared" ref="U74" si="37">SUM($O$1)</f>
        <v>375</v>
      </c>
      <c r="V74" s="149"/>
    </row>
    <row r="75" spans="1:22" ht="54" customHeight="1" thickBot="1">
      <c r="A75" s="149"/>
      <c r="B75" s="156"/>
      <c r="C75" s="158"/>
      <c r="D75" s="160"/>
      <c r="E75" s="162"/>
      <c r="F75" s="76"/>
      <c r="G75" s="77"/>
      <c r="H75" s="77"/>
      <c r="I75" s="77"/>
      <c r="J75" s="77"/>
      <c r="K75" s="78"/>
      <c r="L75" s="79"/>
      <c r="M75" s="80"/>
      <c r="N75" s="81" t="s">
        <v>37</v>
      </c>
      <c r="O75" s="82"/>
      <c r="P75" s="82"/>
      <c r="Q75" s="82"/>
      <c r="R75" s="114"/>
      <c r="S75" s="83"/>
      <c r="T75" s="121"/>
      <c r="U75" s="84"/>
      <c r="V75" s="149"/>
    </row>
    <row r="76" spans="1:22" ht="54" customHeight="1">
      <c r="A76" s="149"/>
      <c r="B76" s="154" t="s">
        <v>155</v>
      </c>
      <c r="C76" s="157" t="s">
        <v>96</v>
      </c>
      <c r="D76" s="159" t="s">
        <v>97</v>
      </c>
      <c r="E76" s="161"/>
      <c r="F76" s="63">
        <v>363</v>
      </c>
      <c r="G76" s="63">
        <v>55</v>
      </c>
      <c r="H76" s="63">
        <v>25</v>
      </c>
      <c r="I76" s="86">
        <v>363</v>
      </c>
      <c r="J76" s="86">
        <v>73.2</v>
      </c>
      <c r="K76" s="87">
        <v>3</v>
      </c>
      <c r="L76" s="64" t="s">
        <v>43</v>
      </c>
      <c r="M76" s="65" t="s">
        <v>15</v>
      </c>
      <c r="N76" s="66" t="s">
        <v>128</v>
      </c>
      <c r="O76" s="67">
        <v>850</v>
      </c>
      <c r="P76" s="67">
        <v>500</v>
      </c>
      <c r="Q76" s="67">
        <v>350</v>
      </c>
      <c r="R76" s="113">
        <f t="shared" ref="R76:R80" si="38">SUM(O76*P76*Q76*7.85/1000000)</f>
        <v>1167.6875</v>
      </c>
      <c r="S76" s="68">
        <v>0.65</v>
      </c>
      <c r="T76" s="120">
        <f t="shared" ref="T76:T78" si="39">SUM(R76*S76)</f>
        <v>758.99687500000005</v>
      </c>
      <c r="U76" s="67">
        <f>SUM($O$1)</f>
        <v>375</v>
      </c>
      <c r="V76" s="149"/>
    </row>
    <row r="77" spans="1:22" ht="54" customHeight="1">
      <c r="A77" s="149"/>
      <c r="B77" s="155"/>
      <c r="C77" s="157"/>
      <c r="D77" s="159"/>
      <c r="E77" s="161"/>
      <c r="F77" s="69"/>
      <c r="G77" s="63"/>
      <c r="H77" s="63"/>
      <c r="I77" s="63"/>
      <c r="J77" s="63"/>
      <c r="K77" s="70"/>
      <c r="L77" s="71"/>
      <c r="M77" s="72" t="s">
        <v>98</v>
      </c>
      <c r="N77" s="73" t="s">
        <v>129</v>
      </c>
      <c r="O77" s="67">
        <v>750</v>
      </c>
      <c r="P77" s="67">
        <v>450</v>
      </c>
      <c r="Q77" s="67">
        <v>350</v>
      </c>
      <c r="R77" s="113">
        <f t="shared" si="38"/>
        <v>927.28125</v>
      </c>
      <c r="S77" s="68">
        <v>0.65</v>
      </c>
      <c r="T77" s="120">
        <f t="shared" si="39"/>
        <v>602.73281250000002</v>
      </c>
      <c r="U77" s="67">
        <f t="shared" ref="U77:U78" si="40">SUM($O$1)</f>
        <v>375</v>
      </c>
      <c r="V77" s="149"/>
    </row>
    <row r="78" spans="1:22" ht="54" customHeight="1">
      <c r="A78" s="149"/>
      <c r="B78" s="155"/>
      <c r="C78" s="157"/>
      <c r="D78" s="159"/>
      <c r="E78" s="161"/>
      <c r="F78" s="69"/>
      <c r="G78" s="63"/>
      <c r="H78" s="63"/>
      <c r="I78" s="63"/>
      <c r="J78" s="63"/>
      <c r="K78" s="70"/>
      <c r="L78" s="71"/>
      <c r="M78" s="72"/>
      <c r="N78" s="73"/>
      <c r="O78" s="67"/>
      <c r="P78" s="67"/>
      <c r="Q78" s="67"/>
      <c r="R78" s="113">
        <f t="shared" si="38"/>
        <v>0</v>
      </c>
      <c r="S78" s="68">
        <v>0.65</v>
      </c>
      <c r="T78" s="120">
        <f t="shared" si="39"/>
        <v>0</v>
      </c>
      <c r="U78" s="67">
        <f t="shared" si="40"/>
        <v>375</v>
      </c>
      <c r="V78" s="149"/>
    </row>
    <row r="79" spans="1:22" ht="54" customHeight="1">
      <c r="A79" s="149"/>
      <c r="B79" s="155"/>
      <c r="C79" s="157"/>
      <c r="D79" s="159"/>
      <c r="E79" s="161"/>
      <c r="F79" s="69"/>
      <c r="G79" s="63"/>
      <c r="H79" s="63"/>
      <c r="I79" s="63"/>
      <c r="J79" s="63"/>
      <c r="K79" s="70"/>
      <c r="L79" s="71"/>
      <c r="M79" s="72"/>
      <c r="N79" s="73"/>
      <c r="O79" s="75"/>
      <c r="P79" s="75"/>
      <c r="Q79" s="75"/>
      <c r="R79" s="113">
        <f t="shared" si="38"/>
        <v>0</v>
      </c>
      <c r="S79" s="74"/>
      <c r="T79" s="123"/>
      <c r="U79" s="75"/>
      <c r="V79" s="149"/>
    </row>
    <row r="80" spans="1:22" ht="54" customHeight="1">
      <c r="A80" s="149"/>
      <c r="B80" s="155"/>
      <c r="C80" s="157"/>
      <c r="D80" s="159"/>
      <c r="E80" s="161"/>
      <c r="F80" s="69"/>
      <c r="G80" s="98"/>
      <c r="H80" s="98"/>
      <c r="I80" s="98"/>
      <c r="J80" s="98"/>
      <c r="K80" s="70"/>
      <c r="L80" s="133"/>
      <c r="M80" s="134"/>
      <c r="N80" s="135" t="s">
        <v>142</v>
      </c>
      <c r="O80" s="136"/>
      <c r="P80" s="136"/>
      <c r="Q80" s="136"/>
      <c r="R80" s="113">
        <f t="shared" si="38"/>
        <v>0</v>
      </c>
      <c r="S80" s="68">
        <f t="shared" ref="S80" si="41">SUM($O$2)</f>
        <v>0.65</v>
      </c>
      <c r="T80" s="120">
        <f t="shared" ref="T80" si="42">SUM(R80*S80)</f>
        <v>0</v>
      </c>
      <c r="U80" s="67">
        <f t="shared" ref="U80" si="43">SUM($O$1)</f>
        <v>375</v>
      </c>
      <c r="V80" s="149"/>
    </row>
    <row r="81" spans="1:22" ht="54" customHeight="1" thickBot="1">
      <c r="A81" s="149"/>
      <c r="B81" s="156"/>
      <c r="C81" s="158"/>
      <c r="D81" s="160"/>
      <c r="E81" s="162"/>
      <c r="F81" s="76"/>
      <c r="G81" s="77"/>
      <c r="H81" s="77"/>
      <c r="I81" s="77"/>
      <c r="J81" s="77"/>
      <c r="K81" s="78"/>
      <c r="L81" s="79"/>
      <c r="M81" s="80"/>
      <c r="N81" s="81" t="s">
        <v>37</v>
      </c>
      <c r="O81" s="82"/>
      <c r="P81" s="82"/>
      <c r="Q81" s="82"/>
      <c r="R81" s="114"/>
      <c r="S81" s="83"/>
      <c r="T81" s="121"/>
      <c r="U81" s="84"/>
      <c r="V81" s="149"/>
    </row>
    <row r="82" spans="1:22" ht="54" customHeight="1">
      <c r="A82" s="149"/>
      <c r="B82" s="154" t="s">
        <v>156</v>
      </c>
      <c r="C82" s="157" t="s">
        <v>99</v>
      </c>
      <c r="D82" s="159" t="s">
        <v>100</v>
      </c>
      <c r="E82" s="163"/>
      <c r="F82" s="63">
        <v>274</v>
      </c>
      <c r="G82" s="63">
        <v>12.7</v>
      </c>
      <c r="H82" s="63"/>
      <c r="I82" s="63"/>
      <c r="J82" s="63"/>
      <c r="K82" s="63">
        <v>2</v>
      </c>
      <c r="L82" s="64" t="s">
        <v>43</v>
      </c>
      <c r="M82" s="65" t="s">
        <v>15</v>
      </c>
      <c r="N82" s="66"/>
      <c r="O82" s="67"/>
      <c r="P82" s="67"/>
      <c r="Q82" s="67"/>
      <c r="R82" s="113">
        <f t="shared" ref="R82:R86" si="44">SUM(O82*P82*Q82*7.85/1000000)</f>
        <v>0</v>
      </c>
      <c r="S82" s="68">
        <v>0.65</v>
      </c>
      <c r="T82" s="120">
        <f t="shared" ref="T82:T86" si="45">SUM(R82*S82)</f>
        <v>0</v>
      </c>
      <c r="U82" s="67">
        <f>SUM($O$1)</f>
        <v>375</v>
      </c>
      <c r="V82" s="149"/>
    </row>
    <row r="83" spans="1:22" ht="54" customHeight="1">
      <c r="A83" s="149"/>
      <c r="B83" s="155"/>
      <c r="C83" s="157"/>
      <c r="D83" s="159"/>
      <c r="E83" s="164"/>
      <c r="F83" s="69"/>
      <c r="G83" s="63"/>
      <c r="H83" s="63"/>
      <c r="I83" s="63"/>
      <c r="J83" s="63"/>
      <c r="K83" s="70"/>
      <c r="L83" s="71"/>
      <c r="M83" s="72"/>
      <c r="N83" s="73"/>
      <c r="O83" s="67"/>
      <c r="P83" s="67"/>
      <c r="Q83" s="67"/>
      <c r="R83" s="113">
        <f t="shared" si="44"/>
        <v>0</v>
      </c>
      <c r="S83" s="68">
        <v>0.65</v>
      </c>
      <c r="T83" s="120">
        <f t="shared" si="45"/>
        <v>0</v>
      </c>
      <c r="U83" s="67">
        <f t="shared" ref="U83:U86" si="46">SUM($O$1)</f>
        <v>375</v>
      </c>
      <c r="V83" s="149"/>
    </row>
    <row r="84" spans="1:22" ht="54" customHeight="1">
      <c r="A84" s="149"/>
      <c r="B84" s="155"/>
      <c r="C84" s="157"/>
      <c r="D84" s="159"/>
      <c r="E84" s="164"/>
      <c r="F84" s="69"/>
      <c r="G84" s="63"/>
      <c r="H84" s="63"/>
      <c r="I84" s="63"/>
      <c r="J84" s="63"/>
      <c r="K84" s="70"/>
      <c r="L84" s="71"/>
      <c r="M84" s="72"/>
      <c r="N84" s="73"/>
      <c r="O84" s="75"/>
      <c r="P84" s="75"/>
      <c r="Q84" s="75"/>
      <c r="R84" s="113">
        <f t="shared" si="44"/>
        <v>0</v>
      </c>
      <c r="S84" s="68">
        <v>0.65</v>
      </c>
      <c r="T84" s="120">
        <f t="shared" si="45"/>
        <v>0</v>
      </c>
      <c r="U84" s="67">
        <f t="shared" si="46"/>
        <v>375</v>
      </c>
      <c r="V84" s="149"/>
    </row>
    <row r="85" spans="1:22" ht="54" customHeight="1">
      <c r="A85" s="149"/>
      <c r="B85" s="155"/>
      <c r="C85" s="157"/>
      <c r="D85" s="159"/>
      <c r="E85" s="164"/>
      <c r="F85" s="69"/>
      <c r="G85" s="98"/>
      <c r="H85" s="98"/>
      <c r="I85" s="98"/>
      <c r="J85" s="98"/>
      <c r="K85" s="70"/>
      <c r="L85" s="133"/>
      <c r="M85" s="134"/>
      <c r="N85" s="135"/>
      <c r="O85" s="136"/>
      <c r="P85" s="136"/>
      <c r="Q85" s="136"/>
      <c r="R85" s="113">
        <f t="shared" si="44"/>
        <v>0</v>
      </c>
      <c r="S85" s="68">
        <f t="shared" ref="S85:S86" si="47">SUM($O$2)</f>
        <v>0.65</v>
      </c>
      <c r="T85" s="120">
        <f t="shared" si="45"/>
        <v>0</v>
      </c>
      <c r="U85" s="67">
        <f t="shared" si="46"/>
        <v>375</v>
      </c>
      <c r="V85" s="149"/>
    </row>
    <row r="86" spans="1:22" ht="54" customHeight="1">
      <c r="A86" s="149"/>
      <c r="B86" s="155"/>
      <c r="C86" s="157"/>
      <c r="D86" s="159"/>
      <c r="E86" s="164"/>
      <c r="F86" s="69"/>
      <c r="G86" s="98"/>
      <c r="H86" s="98"/>
      <c r="I86" s="98"/>
      <c r="J86" s="98"/>
      <c r="K86" s="70"/>
      <c r="L86" s="133"/>
      <c r="M86" s="134"/>
      <c r="N86" s="135" t="s">
        <v>142</v>
      </c>
      <c r="O86" s="136"/>
      <c r="P86" s="136"/>
      <c r="Q86" s="136"/>
      <c r="R86" s="113">
        <f t="shared" si="44"/>
        <v>0</v>
      </c>
      <c r="S86" s="68">
        <f t="shared" si="47"/>
        <v>0.65</v>
      </c>
      <c r="T86" s="120">
        <f t="shared" si="45"/>
        <v>0</v>
      </c>
      <c r="U86" s="67">
        <f t="shared" si="46"/>
        <v>375</v>
      </c>
      <c r="V86" s="149"/>
    </row>
    <row r="87" spans="1:22" ht="54" customHeight="1" thickBot="1">
      <c r="A87" s="149"/>
      <c r="B87" s="156"/>
      <c r="C87" s="158"/>
      <c r="D87" s="159"/>
      <c r="E87" s="165"/>
      <c r="F87" s="76"/>
      <c r="G87" s="77"/>
      <c r="H87" s="77"/>
      <c r="I87" s="77"/>
      <c r="J87" s="77"/>
      <c r="K87" s="78"/>
      <c r="L87" s="79"/>
      <c r="M87" s="80"/>
      <c r="N87" s="81" t="s">
        <v>37</v>
      </c>
      <c r="O87" s="82"/>
      <c r="P87" s="82"/>
      <c r="Q87" s="82"/>
      <c r="R87" s="114"/>
      <c r="S87" s="83"/>
      <c r="T87" s="121"/>
      <c r="U87" s="84"/>
      <c r="V87" s="149"/>
    </row>
    <row r="88" spans="1:22" ht="54" customHeight="1">
      <c r="A88" s="149"/>
      <c r="B88" s="154" t="s">
        <v>157</v>
      </c>
      <c r="C88" s="157" t="s">
        <v>101</v>
      </c>
      <c r="D88" s="159" t="s">
        <v>102</v>
      </c>
      <c r="E88" s="161"/>
      <c r="F88" s="85">
        <v>116</v>
      </c>
      <c r="G88" s="86">
        <v>19</v>
      </c>
      <c r="H88" s="86">
        <v>19</v>
      </c>
      <c r="I88" s="86"/>
      <c r="J88" s="86"/>
      <c r="K88" s="87"/>
      <c r="L88" s="64" t="s">
        <v>43</v>
      </c>
      <c r="M88" s="65" t="s">
        <v>15</v>
      </c>
      <c r="N88" s="66"/>
      <c r="O88" s="67"/>
      <c r="P88" s="67"/>
      <c r="Q88" s="67"/>
      <c r="R88" s="113">
        <f t="shared" ref="R88:R92" si="48">SUM(O88*P88*Q88*7.85/1000000)</f>
        <v>0</v>
      </c>
      <c r="S88" s="68">
        <v>0.65</v>
      </c>
      <c r="T88" s="120">
        <f t="shared" ref="T88:T92" si="49">SUM(R88*S88)</f>
        <v>0</v>
      </c>
      <c r="U88" s="67">
        <f>SUM($O$1)</f>
        <v>375</v>
      </c>
      <c r="V88" s="149"/>
    </row>
    <row r="89" spans="1:22" ht="54" customHeight="1">
      <c r="A89" s="149"/>
      <c r="B89" s="155"/>
      <c r="C89" s="157"/>
      <c r="D89" s="159"/>
      <c r="E89" s="161"/>
      <c r="F89" s="69"/>
      <c r="G89" s="63"/>
      <c r="H89" s="63"/>
      <c r="I89" s="63"/>
      <c r="J89" s="63"/>
      <c r="K89" s="70"/>
      <c r="L89" s="71"/>
      <c r="M89" s="72"/>
      <c r="N89" s="73"/>
      <c r="O89" s="67"/>
      <c r="P89" s="67"/>
      <c r="Q89" s="67"/>
      <c r="R89" s="113">
        <f t="shared" si="48"/>
        <v>0</v>
      </c>
      <c r="S89" s="68">
        <v>0.65</v>
      </c>
      <c r="T89" s="120">
        <f t="shared" si="49"/>
        <v>0</v>
      </c>
      <c r="U89" s="67">
        <f t="shared" ref="U89:U92" si="50">SUM($O$1)</f>
        <v>375</v>
      </c>
      <c r="V89" s="149"/>
    </row>
    <row r="90" spans="1:22" ht="54" customHeight="1">
      <c r="A90" s="149"/>
      <c r="B90" s="155"/>
      <c r="C90" s="157"/>
      <c r="D90" s="159"/>
      <c r="E90" s="161"/>
      <c r="F90" s="69"/>
      <c r="G90" s="63"/>
      <c r="H90" s="63"/>
      <c r="I90" s="63"/>
      <c r="J90" s="63"/>
      <c r="K90" s="70"/>
      <c r="L90" s="71"/>
      <c r="M90" s="72"/>
      <c r="N90" s="73"/>
      <c r="O90" s="75"/>
      <c r="P90" s="75"/>
      <c r="Q90" s="75"/>
      <c r="R90" s="113">
        <f t="shared" si="48"/>
        <v>0</v>
      </c>
      <c r="S90" s="68">
        <v>0.65</v>
      </c>
      <c r="T90" s="120">
        <f t="shared" si="49"/>
        <v>0</v>
      </c>
      <c r="U90" s="67">
        <f t="shared" si="50"/>
        <v>375</v>
      </c>
      <c r="V90" s="149"/>
    </row>
    <row r="91" spans="1:22" ht="54" customHeight="1">
      <c r="A91" s="149"/>
      <c r="B91" s="155"/>
      <c r="C91" s="157"/>
      <c r="D91" s="159"/>
      <c r="E91" s="161"/>
      <c r="F91" s="69"/>
      <c r="G91" s="98"/>
      <c r="H91" s="98"/>
      <c r="I91" s="98"/>
      <c r="J91" s="98"/>
      <c r="K91" s="70"/>
      <c r="L91" s="133"/>
      <c r="M91" s="134"/>
      <c r="N91" s="135"/>
      <c r="O91" s="136"/>
      <c r="P91" s="136"/>
      <c r="Q91" s="136"/>
      <c r="R91" s="113">
        <f t="shared" si="48"/>
        <v>0</v>
      </c>
      <c r="S91" s="68">
        <f t="shared" ref="S91:S92" si="51">SUM($O$2)</f>
        <v>0.65</v>
      </c>
      <c r="T91" s="120">
        <f t="shared" si="49"/>
        <v>0</v>
      </c>
      <c r="U91" s="67">
        <f t="shared" si="50"/>
        <v>375</v>
      </c>
      <c r="V91" s="149"/>
    </row>
    <row r="92" spans="1:22" ht="54" customHeight="1">
      <c r="A92" s="149"/>
      <c r="B92" s="155"/>
      <c r="C92" s="157"/>
      <c r="D92" s="159"/>
      <c r="E92" s="161"/>
      <c r="F92" s="69"/>
      <c r="G92" s="98"/>
      <c r="H92" s="98"/>
      <c r="I92" s="98"/>
      <c r="J92" s="98"/>
      <c r="K92" s="70"/>
      <c r="L92" s="133"/>
      <c r="M92" s="134"/>
      <c r="N92" s="135" t="s">
        <v>142</v>
      </c>
      <c r="O92" s="136"/>
      <c r="P92" s="136"/>
      <c r="Q92" s="136"/>
      <c r="R92" s="113">
        <f t="shared" si="48"/>
        <v>0</v>
      </c>
      <c r="S92" s="68">
        <f t="shared" si="51"/>
        <v>0.65</v>
      </c>
      <c r="T92" s="120">
        <f t="shared" si="49"/>
        <v>0</v>
      </c>
      <c r="U92" s="67">
        <f t="shared" si="50"/>
        <v>375</v>
      </c>
      <c r="V92" s="149"/>
    </row>
    <row r="93" spans="1:22" ht="54" customHeight="1" thickBot="1">
      <c r="A93" s="149"/>
      <c r="B93" s="156"/>
      <c r="C93" s="158"/>
      <c r="D93" s="160"/>
      <c r="E93" s="162"/>
      <c r="F93" s="76"/>
      <c r="G93" s="77"/>
      <c r="H93" s="77"/>
      <c r="I93" s="77"/>
      <c r="J93" s="77"/>
      <c r="K93" s="78"/>
      <c r="L93" s="79"/>
      <c r="M93" s="80"/>
      <c r="N93" s="81" t="s">
        <v>37</v>
      </c>
      <c r="O93" s="82"/>
      <c r="P93" s="82"/>
      <c r="Q93" s="82"/>
      <c r="R93" s="114"/>
      <c r="S93" s="83"/>
      <c r="T93" s="121"/>
      <c r="U93" s="84"/>
      <c r="V93" s="149"/>
    </row>
    <row r="94" spans="1:22" ht="54" customHeight="1">
      <c r="A94" s="149"/>
      <c r="B94" s="154" t="s">
        <v>158</v>
      </c>
      <c r="C94" s="157" t="s">
        <v>103</v>
      </c>
      <c r="D94" s="159" t="s">
        <v>104</v>
      </c>
      <c r="E94" s="161"/>
      <c r="F94" s="85">
        <v>261</v>
      </c>
      <c r="G94" s="86">
        <v>13</v>
      </c>
      <c r="H94" s="86"/>
      <c r="I94" s="86"/>
      <c r="J94" s="86"/>
      <c r="K94" s="87">
        <v>2</v>
      </c>
      <c r="L94" s="64" t="s">
        <v>43</v>
      </c>
      <c r="M94" s="65" t="s">
        <v>15</v>
      </c>
      <c r="N94" s="66"/>
      <c r="O94" s="67"/>
      <c r="P94" s="67"/>
      <c r="Q94" s="67"/>
      <c r="R94" s="113">
        <f t="shared" ref="R94:R98" si="52">SUM(O94*P94*Q94*7.85/1000000)</f>
        <v>0</v>
      </c>
      <c r="S94" s="68">
        <v>0.65</v>
      </c>
      <c r="T94" s="120">
        <f t="shared" ref="T94:T98" si="53">SUM(R94*S94)</f>
        <v>0</v>
      </c>
      <c r="U94" s="67">
        <f>SUM($O$1)</f>
        <v>375</v>
      </c>
      <c r="V94" s="149"/>
    </row>
    <row r="95" spans="1:22" ht="54" customHeight="1">
      <c r="A95" s="149"/>
      <c r="B95" s="155"/>
      <c r="C95" s="157"/>
      <c r="D95" s="159"/>
      <c r="E95" s="161"/>
      <c r="F95" s="69"/>
      <c r="G95" s="63"/>
      <c r="H95" s="63"/>
      <c r="I95" s="63"/>
      <c r="J95" s="63"/>
      <c r="K95" s="70"/>
      <c r="L95" s="71"/>
      <c r="M95" s="72"/>
      <c r="N95" s="73"/>
      <c r="O95" s="67"/>
      <c r="P95" s="67"/>
      <c r="Q95" s="67"/>
      <c r="R95" s="113">
        <f t="shared" si="52"/>
        <v>0</v>
      </c>
      <c r="S95" s="68">
        <v>0.65</v>
      </c>
      <c r="T95" s="120">
        <f t="shared" si="53"/>
        <v>0</v>
      </c>
      <c r="U95" s="67">
        <f t="shared" ref="U95:U98" si="54">SUM($O$1)</f>
        <v>375</v>
      </c>
      <c r="V95" s="149"/>
    </row>
    <row r="96" spans="1:22" ht="54" customHeight="1">
      <c r="A96" s="149"/>
      <c r="B96" s="155"/>
      <c r="C96" s="157"/>
      <c r="D96" s="159"/>
      <c r="E96" s="161"/>
      <c r="F96" s="69"/>
      <c r="G96" s="63"/>
      <c r="H96" s="63"/>
      <c r="I96" s="63"/>
      <c r="J96" s="63"/>
      <c r="K96" s="70"/>
      <c r="L96" s="71"/>
      <c r="M96" s="72"/>
      <c r="N96" s="73"/>
      <c r="O96" s="67"/>
      <c r="P96" s="67"/>
      <c r="Q96" s="67"/>
      <c r="R96" s="113">
        <f t="shared" si="52"/>
        <v>0</v>
      </c>
      <c r="S96" s="68">
        <v>0.65</v>
      </c>
      <c r="T96" s="120">
        <f t="shared" si="53"/>
        <v>0</v>
      </c>
      <c r="U96" s="67">
        <f t="shared" si="54"/>
        <v>375</v>
      </c>
      <c r="V96" s="149"/>
    </row>
    <row r="97" spans="1:22" ht="54" customHeight="1">
      <c r="A97" s="149"/>
      <c r="B97" s="155"/>
      <c r="C97" s="157"/>
      <c r="D97" s="159"/>
      <c r="E97" s="161"/>
      <c r="F97" s="69"/>
      <c r="G97" s="98"/>
      <c r="H97" s="98"/>
      <c r="I97" s="98"/>
      <c r="J97" s="98"/>
      <c r="K97" s="70"/>
      <c r="L97" s="133"/>
      <c r="M97" s="134"/>
      <c r="N97" s="135"/>
      <c r="O97" s="136"/>
      <c r="P97" s="136"/>
      <c r="Q97" s="136"/>
      <c r="R97" s="113">
        <f t="shared" si="52"/>
        <v>0</v>
      </c>
      <c r="S97" s="68">
        <f t="shared" ref="S97:S98" si="55">SUM($O$2)</f>
        <v>0.65</v>
      </c>
      <c r="T97" s="120">
        <f t="shared" si="53"/>
        <v>0</v>
      </c>
      <c r="U97" s="67">
        <f t="shared" si="54"/>
        <v>375</v>
      </c>
      <c r="V97" s="149"/>
    </row>
    <row r="98" spans="1:22" ht="54" customHeight="1">
      <c r="A98" s="149"/>
      <c r="B98" s="155"/>
      <c r="C98" s="157"/>
      <c r="D98" s="159"/>
      <c r="E98" s="161"/>
      <c r="F98" s="69"/>
      <c r="G98" s="98"/>
      <c r="H98" s="98"/>
      <c r="I98" s="98"/>
      <c r="J98" s="98"/>
      <c r="K98" s="70"/>
      <c r="L98" s="133"/>
      <c r="M98" s="134"/>
      <c r="N98" s="135" t="s">
        <v>142</v>
      </c>
      <c r="O98" s="136"/>
      <c r="P98" s="136"/>
      <c r="Q98" s="136"/>
      <c r="R98" s="113">
        <f t="shared" si="52"/>
        <v>0</v>
      </c>
      <c r="S98" s="68">
        <f t="shared" si="55"/>
        <v>0.65</v>
      </c>
      <c r="T98" s="120">
        <f t="shared" si="53"/>
        <v>0</v>
      </c>
      <c r="U98" s="67">
        <f t="shared" si="54"/>
        <v>375</v>
      </c>
      <c r="V98" s="149"/>
    </row>
    <row r="99" spans="1:22" ht="54" customHeight="1" thickBot="1">
      <c r="A99" s="149"/>
      <c r="B99" s="156"/>
      <c r="C99" s="158"/>
      <c r="D99" s="160"/>
      <c r="E99" s="162"/>
      <c r="F99" s="76"/>
      <c r="G99" s="77"/>
      <c r="H99" s="77"/>
      <c r="I99" s="77"/>
      <c r="J99" s="77"/>
      <c r="K99" s="78"/>
      <c r="L99" s="79"/>
      <c r="M99" s="80"/>
      <c r="N99" s="81" t="s">
        <v>37</v>
      </c>
      <c r="O99" s="82"/>
      <c r="P99" s="82"/>
      <c r="Q99" s="82"/>
      <c r="R99" s="114"/>
      <c r="S99" s="83"/>
      <c r="T99" s="121"/>
      <c r="U99" s="84"/>
      <c r="V99" s="149"/>
    </row>
    <row r="100" spans="1:22" ht="54" customHeight="1">
      <c r="A100" s="149"/>
      <c r="B100" s="154" t="s">
        <v>159</v>
      </c>
      <c r="C100" s="157" t="s">
        <v>105</v>
      </c>
      <c r="D100" s="159" t="s">
        <v>106</v>
      </c>
      <c r="E100" s="161"/>
      <c r="F100" s="85">
        <v>82</v>
      </c>
      <c r="G100" s="86">
        <v>60</v>
      </c>
      <c r="H100" s="86">
        <v>65</v>
      </c>
      <c r="I100" s="86">
        <v>122</v>
      </c>
      <c r="J100" s="86">
        <v>82</v>
      </c>
      <c r="K100" s="87">
        <v>2</v>
      </c>
      <c r="L100" s="64" t="s">
        <v>43</v>
      </c>
      <c r="M100" s="65" t="s">
        <v>15</v>
      </c>
      <c r="N100" s="66" t="s">
        <v>128</v>
      </c>
      <c r="O100" s="67">
        <v>600</v>
      </c>
      <c r="P100" s="67">
        <v>450</v>
      </c>
      <c r="Q100" s="67">
        <v>350</v>
      </c>
      <c r="R100" s="113">
        <f t="shared" ref="R100:R104" si="56">SUM(O100*P100*Q100*7.85/1000000)</f>
        <v>741.82500000000005</v>
      </c>
      <c r="S100" s="68">
        <v>0.65</v>
      </c>
      <c r="T100" s="120">
        <f t="shared" ref="T100:T102" si="57">SUM(R100*S100)</f>
        <v>482.18625000000003</v>
      </c>
      <c r="U100" s="67">
        <f>SUM($O$1)</f>
        <v>375</v>
      </c>
      <c r="V100" s="149"/>
    </row>
    <row r="101" spans="1:22" ht="54" customHeight="1">
      <c r="A101" s="149"/>
      <c r="B101" s="155"/>
      <c r="C101" s="157"/>
      <c r="D101" s="159"/>
      <c r="E101" s="161"/>
      <c r="F101" s="69"/>
      <c r="G101" s="63"/>
      <c r="H101" s="63"/>
      <c r="I101" s="63"/>
      <c r="J101" s="63"/>
      <c r="K101" s="70"/>
      <c r="L101" s="71"/>
      <c r="M101" s="72" t="s">
        <v>98</v>
      </c>
      <c r="N101" s="73" t="s">
        <v>129</v>
      </c>
      <c r="O101" s="67">
        <v>500</v>
      </c>
      <c r="P101" s="67">
        <v>450</v>
      </c>
      <c r="Q101" s="67">
        <v>350</v>
      </c>
      <c r="R101" s="113">
        <f t="shared" si="56"/>
        <v>618.1875</v>
      </c>
      <c r="S101" s="68">
        <v>0.65</v>
      </c>
      <c r="T101" s="120">
        <f t="shared" si="57"/>
        <v>401.82187500000003</v>
      </c>
      <c r="U101" s="67">
        <f t="shared" ref="U101:U102" si="58">SUM($O$1)</f>
        <v>375</v>
      </c>
      <c r="V101" s="149"/>
    </row>
    <row r="102" spans="1:22" ht="54" customHeight="1">
      <c r="A102" s="149"/>
      <c r="B102" s="155"/>
      <c r="C102" s="157"/>
      <c r="D102" s="159"/>
      <c r="E102" s="161"/>
      <c r="F102" s="69"/>
      <c r="G102" s="63"/>
      <c r="H102" s="63"/>
      <c r="I102" s="63"/>
      <c r="J102" s="63"/>
      <c r="K102" s="70"/>
      <c r="L102" s="71"/>
      <c r="M102" s="72"/>
      <c r="N102" s="73"/>
      <c r="O102" s="75"/>
      <c r="P102" s="75"/>
      <c r="Q102" s="75"/>
      <c r="R102" s="113">
        <f t="shared" si="56"/>
        <v>0</v>
      </c>
      <c r="S102" s="68">
        <v>0.65</v>
      </c>
      <c r="T102" s="120">
        <f t="shared" si="57"/>
        <v>0</v>
      </c>
      <c r="U102" s="67">
        <f t="shared" si="58"/>
        <v>375</v>
      </c>
      <c r="V102" s="149"/>
    </row>
    <row r="103" spans="1:22" ht="54" customHeight="1">
      <c r="A103" s="149"/>
      <c r="B103" s="155"/>
      <c r="C103" s="157"/>
      <c r="D103" s="159"/>
      <c r="E103" s="161"/>
      <c r="F103" s="69"/>
      <c r="G103" s="98"/>
      <c r="H103" s="98"/>
      <c r="I103" s="98"/>
      <c r="J103" s="98"/>
      <c r="K103" s="70"/>
      <c r="L103" s="133"/>
      <c r="M103" s="134"/>
      <c r="N103" s="135"/>
      <c r="O103" s="136"/>
      <c r="P103" s="136"/>
      <c r="Q103" s="136"/>
      <c r="R103" s="113">
        <f t="shared" si="56"/>
        <v>0</v>
      </c>
      <c r="S103" s="68">
        <f t="shared" ref="S103:S104" si="59">SUM($O$2)</f>
        <v>0.65</v>
      </c>
      <c r="T103" s="120">
        <f t="shared" ref="T103:T104" si="60">SUM(R103*S103)</f>
        <v>0</v>
      </c>
      <c r="U103" s="67">
        <f t="shared" ref="U103:U104" si="61">SUM($O$1)</f>
        <v>375</v>
      </c>
      <c r="V103" s="149"/>
    </row>
    <row r="104" spans="1:22" ht="54" customHeight="1">
      <c r="A104" s="149"/>
      <c r="B104" s="155"/>
      <c r="C104" s="157"/>
      <c r="D104" s="159"/>
      <c r="E104" s="161"/>
      <c r="F104" s="69"/>
      <c r="G104" s="98"/>
      <c r="H104" s="98"/>
      <c r="I104" s="98"/>
      <c r="J104" s="98"/>
      <c r="K104" s="70"/>
      <c r="L104" s="133"/>
      <c r="M104" s="134"/>
      <c r="N104" s="135" t="s">
        <v>142</v>
      </c>
      <c r="O104" s="136"/>
      <c r="P104" s="136"/>
      <c r="Q104" s="136"/>
      <c r="R104" s="113">
        <f t="shared" si="56"/>
        <v>0</v>
      </c>
      <c r="S104" s="68">
        <f t="shared" si="59"/>
        <v>0.65</v>
      </c>
      <c r="T104" s="120">
        <f t="shared" si="60"/>
        <v>0</v>
      </c>
      <c r="U104" s="67">
        <f t="shared" si="61"/>
        <v>375</v>
      </c>
      <c r="V104" s="149"/>
    </row>
    <row r="105" spans="1:22" ht="54" customHeight="1" thickBot="1">
      <c r="A105" s="149"/>
      <c r="B105" s="156"/>
      <c r="C105" s="158"/>
      <c r="D105" s="160"/>
      <c r="E105" s="162"/>
      <c r="F105" s="76"/>
      <c r="G105" s="77"/>
      <c r="H105" s="77"/>
      <c r="I105" s="77"/>
      <c r="J105" s="77"/>
      <c r="K105" s="78"/>
      <c r="L105" s="79"/>
      <c r="M105" s="80"/>
      <c r="N105" s="81" t="s">
        <v>37</v>
      </c>
      <c r="O105" s="82"/>
      <c r="P105" s="82"/>
      <c r="Q105" s="82"/>
      <c r="R105" s="114"/>
      <c r="S105" s="83"/>
      <c r="T105" s="121"/>
      <c r="U105" s="84"/>
      <c r="V105" s="149"/>
    </row>
    <row r="106" spans="1:22" ht="54" customHeight="1">
      <c r="A106" s="149"/>
      <c r="B106" s="154" t="s">
        <v>160</v>
      </c>
      <c r="C106" s="157" t="s">
        <v>107</v>
      </c>
      <c r="D106" s="159" t="s">
        <v>108</v>
      </c>
      <c r="E106" s="161"/>
      <c r="F106" s="63">
        <v>375</v>
      </c>
      <c r="G106" s="63">
        <v>38</v>
      </c>
      <c r="H106" s="63">
        <v>50</v>
      </c>
      <c r="I106" s="63">
        <v>375</v>
      </c>
      <c r="J106" s="63">
        <v>87</v>
      </c>
      <c r="K106" s="63">
        <v>3</v>
      </c>
      <c r="L106" s="64" t="s">
        <v>43</v>
      </c>
      <c r="M106" s="65" t="s">
        <v>15</v>
      </c>
      <c r="N106" s="66" t="s">
        <v>128</v>
      </c>
      <c r="O106" s="67">
        <v>850</v>
      </c>
      <c r="P106" s="67">
        <v>450</v>
      </c>
      <c r="Q106" s="67">
        <v>350</v>
      </c>
      <c r="R106" s="113">
        <f t="shared" ref="R106:R110" si="62">SUM(O106*P106*Q106*7.85/1000000)</f>
        <v>1050.91875</v>
      </c>
      <c r="S106" s="68">
        <v>0.65</v>
      </c>
      <c r="T106" s="120">
        <f t="shared" ref="T106:T108" si="63">SUM(R106*S106)</f>
        <v>683.09718750000002</v>
      </c>
      <c r="U106" s="67">
        <f>SUM($O$1)</f>
        <v>375</v>
      </c>
      <c r="V106" s="149"/>
    </row>
    <row r="107" spans="1:22" ht="54" customHeight="1">
      <c r="A107" s="149"/>
      <c r="B107" s="155"/>
      <c r="C107" s="157"/>
      <c r="D107" s="159"/>
      <c r="E107" s="161"/>
      <c r="F107" s="69"/>
      <c r="G107" s="63"/>
      <c r="H107" s="63"/>
      <c r="I107" s="63"/>
      <c r="J107" s="63"/>
      <c r="K107" s="70"/>
      <c r="L107" s="71"/>
      <c r="M107" s="72" t="s">
        <v>98</v>
      </c>
      <c r="N107" s="73" t="s">
        <v>138</v>
      </c>
      <c r="O107" s="67">
        <v>800</v>
      </c>
      <c r="P107" s="67">
        <v>400</v>
      </c>
      <c r="Q107" s="67">
        <v>350</v>
      </c>
      <c r="R107" s="113">
        <f t="shared" si="62"/>
        <v>879.2</v>
      </c>
      <c r="S107" s="68">
        <v>0.65</v>
      </c>
      <c r="T107" s="120">
        <f t="shared" si="63"/>
        <v>571.48</v>
      </c>
      <c r="U107" s="67">
        <f t="shared" ref="U107:U110" si="64">SUM($O$1)</f>
        <v>375</v>
      </c>
      <c r="V107" s="149"/>
    </row>
    <row r="108" spans="1:22" ht="54" customHeight="1">
      <c r="A108" s="149"/>
      <c r="B108" s="155"/>
      <c r="C108" s="157"/>
      <c r="D108" s="159"/>
      <c r="E108" s="161"/>
      <c r="F108" s="69"/>
      <c r="G108" s="63"/>
      <c r="H108" s="63"/>
      <c r="I108" s="63"/>
      <c r="J108" s="63"/>
      <c r="K108" s="70"/>
      <c r="L108" s="71"/>
      <c r="M108" s="65" t="s">
        <v>131</v>
      </c>
      <c r="N108" s="73" t="s">
        <v>135</v>
      </c>
      <c r="O108" s="67">
        <v>750</v>
      </c>
      <c r="P108" s="67">
        <v>400</v>
      </c>
      <c r="Q108" s="67">
        <v>350</v>
      </c>
      <c r="R108" s="113">
        <f t="shared" si="62"/>
        <v>824.25</v>
      </c>
      <c r="S108" s="68">
        <v>0.65</v>
      </c>
      <c r="T108" s="120">
        <f t="shared" si="63"/>
        <v>535.76250000000005</v>
      </c>
      <c r="U108" s="67">
        <f t="shared" si="64"/>
        <v>375</v>
      </c>
      <c r="V108" s="149"/>
    </row>
    <row r="109" spans="1:22" ht="54" customHeight="1">
      <c r="A109" s="149"/>
      <c r="B109" s="155"/>
      <c r="C109" s="157"/>
      <c r="D109" s="159"/>
      <c r="E109" s="161"/>
      <c r="F109" s="69"/>
      <c r="G109" s="63"/>
      <c r="H109" s="63"/>
      <c r="I109" s="63"/>
      <c r="J109" s="63"/>
      <c r="K109" s="70"/>
      <c r="L109" s="71"/>
      <c r="M109" s="72" t="s">
        <v>139</v>
      </c>
      <c r="N109" s="73" t="s">
        <v>136</v>
      </c>
      <c r="O109" s="75">
        <v>700</v>
      </c>
      <c r="P109" s="75">
        <v>400</v>
      </c>
      <c r="Q109" s="75">
        <v>350</v>
      </c>
      <c r="R109" s="113">
        <f t="shared" si="62"/>
        <v>769.3</v>
      </c>
      <c r="S109" s="68">
        <v>1.65</v>
      </c>
      <c r="T109" s="120">
        <f t="shared" ref="T109:T110" si="65">SUM(R109*S109)</f>
        <v>1269.3449999999998</v>
      </c>
      <c r="U109" s="67">
        <f t="shared" si="64"/>
        <v>375</v>
      </c>
      <c r="V109" s="149"/>
    </row>
    <row r="110" spans="1:22" ht="54" customHeight="1">
      <c r="A110" s="149"/>
      <c r="B110" s="155"/>
      <c r="C110" s="157"/>
      <c r="D110" s="159"/>
      <c r="E110" s="161"/>
      <c r="F110" s="69"/>
      <c r="G110" s="98"/>
      <c r="H110" s="98"/>
      <c r="I110" s="98"/>
      <c r="J110" s="98"/>
      <c r="K110" s="70"/>
      <c r="L110" s="133"/>
      <c r="M110" s="134"/>
      <c r="N110" s="135" t="s">
        <v>142</v>
      </c>
      <c r="O110" s="136"/>
      <c r="P110" s="136"/>
      <c r="Q110" s="136"/>
      <c r="R110" s="113">
        <f t="shared" si="62"/>
        <v>0</v>
      </c>
      <c r="S110" s="68">
        <f t="shared" ref="S110" si="66">SUM($O$2)</f>
        <v>0.65</v>
      </c>
      <c r="T110" s="120">
        <f t="shared" si="65"/>
        <v>0</v>
      </c>
      <c r="U110" s="67">
        <f t="shared" si="64"/>
        <v>375</v>
      </c>
      <c r="V110" s="149"/>
    </row>
    <row r="111" spans="1:22" ht="54" customHeight="1" thickBot="1">
      <c r="A111" s="149"/>
      <c r="B111" s="156"/>
      <c r="C111" s="158"/>
      <c r="D111" s="160"/>
      <c r="E111" s="162"/>
      <c r="F111" s="76"/>
      <c r="G111" s="77"/>
      <c r="H111" s="77"/>
      <c r="I111" s="77"/>
      <c r="J111" s="77"/>
      <c r="K111" s="78"/>
      <c r="L111" s="79"/>
      <c r="M111" s="80"/>
      <c r="N111" s="81" t="s">
        <v>37</v>
      </c>
      <c r="O111" s="82"/>
      <c r="P111" s="82"/>
      <c r="Q111" s="82"/>
      <c r="R111" s="114"/>
      <c r="S111" s="83"/>
      <c r="T111" s="121"/>
      <c r="U111" s="84"/>
      <c r="V111" s="149"/>
    </row>
    <row r="112" spans="1:22" ht="54" customHeight="1">
      <c r="A112" s="149"/>
      <c r="B112" s="154" t="s">
        <v>161</v>
      </c>
      <c r="C112" s="157" t="s">
        <v>109</v>
      </c>
      <c r="D112" s="159" t="s">
        <v>110</v>
      </c>
      <c r="E112" s="161"/>
      <c r="F112" s="85">
        <v>42</v>
      </c>
      <c r="G112" s="86">
        <v>34</v>
      </c>
      <c r="H112" s="86">
        <v>13</v>
      </c>
      <c r="I112" s="86">
        <v>57</v>
      </c>
      <c r="J112" s="86">
        <v>42</v>
      </c>
      <c r="K112" s="87">
        <v>2.5</v>
      </c>
      <c r="L112" s="64" t="s">
        <v>43</v>
      </c>
      <c r="M112" s="65" t="s">
        <v>15</v>
      </c>
      <c r="N112" s="66" t="s">
        <v>128</v>
      </c>
      <c r="O112" s="67">
        <v>450</v>
      </c>
      <c r="P112" s="67">
        <v>350</v>
      </c>
      <c r="Q112" s="67">
        <v>350</v>
      </c>
      <c r="R112" s="113">
        <f t="shared" ref="R112:R116" si="67">SUM(O112*P112*Q112*7.85/1000000)</f>
        <v>432.73124999999999</v>
      </c>
      <c r="S112" s="68">
        <v>0.65</v>
      </c>
      <c r="T112" s="120">
        <f t="shared" ref="T112:T116" si="68">SUM(R112*S112)</f>
        <v>281.27531249999998</v>
      </c>
      <c r="U112" s="67">
        <f>SUM($O$1)</f>
        <v>375</v>
      </c>
      <c r="V112" s="149"/>
    </row>
    <row r="113" spans="1:22" ht="54" customHeight="1">
      <c r="A113" s="149"/>
      <c r="B113" s="155"/>
      <c r="C113" s="157"/>
      <c r="D113" s="159"/>
      <c r="E113" s="161"/>
      <c r="F113" s="69"/>
      <c r="G113" s="63"/>
      <c r="H113" s="63"/>
      <c r="I113" s="63"/>
      <c r="J113" s="63"/>
      <c r="K113" s="70"/>
      <c r="L113" s="71"/>
      <c r="M113" s="72" t="s">
        <v>98</v>
      </c>
      <c r="N113" s="73" t="s">
        <v>140</v>
      </c>
      <c r="O113" s="67">
        <v>400</v>
      </c>
      <c r="P113" s="67">
        <v>350</v>
      </c>
      <c r="Q113" s="67">
        <v>350</v>
      </c>
      <c r="R113" s="113">
        <f t="shared" si="67"/>
        <v>384.65</v>
      </c>
      <c r="S113" s="68">
        <v>0.65</v>
      </c>
      <c r="T113" s="120">
        <f t="shared" si="68"/>
        <v>250.02250000000001</v>
      </c>
      <c r="U113" s="67">
        <f t="shared" ref="U113:U116" si="69">SUM($O$1)</f>
        <v>375</v>
      </c>
      <c r="V113" s="149"/>
    </row>
    <row r="114" spans="1:22" ht="54" customHeight="1">
      <c r="A114" s="149"/>
      <c r="B114" s="155"/>
      <c r="C114" s="157"/>
      <c r="D114" s="159"/>
      <c r="E114" s="161"/>
      <c r="F114" s="69"/>
      <c r="G114" s="63"/>
      <c r="H114" s="63"/>
      <c r="I114" s="63"/>
      <c r="J114" s="63"/>
      <c r="K114" s="70"/>
      <c r="L114" s="71"/>
      <c r="M114" s="65"/>
      <c r="N114" s="73"/>
      <c r="O114" s="75"/>
      <c r="P114" s="75"/>
      <c r="Q114" s="75"/>
      <c r="R114" s="113">
        <f t="shared" si="67"/>
        <v>0</v>
      </c>
      <c r="S114" s="68">
        <v>0.65</v>
      </c>
      <c r="T114" s="120">
        <f t="shared" si="68"/>
        <v>0</v>
      </c>
      <c r="U114" s="67">
        <f t="shared" si="69"/>
        <v>375</v>
      </c>
      <c r="V114" s="149"/>
    </row>
    <row r="115" spans="1:22" ht="54" customHeight="1">
      <c r="A115" s="149"/>
      <c r="B115" s="155"/>
      <c r="C115" s="157"/>
      <c r="D115" s="159"/>
      <c r="E115" s="161"/>
      <c r="F115" s="69"/>
      <c r="G115" s="98"/>
      <c r="H115" s="98"/>
      <c r="I115" s="98"/>
      <c r="J115" s="98"/>
      <c r="K115" s="70"/>
      <c r="L115" s="133"/>
      <c r="M115" s="134"/>
      <c r="N115" s="135"/>
      <c r="O115" s="136"/>
      <c r="P115" s="136"/>
      <c r="Q115" s="136"/>
      <c r="R115" s="113">
        <f t="shared" si="67"/>
        <v>0</v>
      </c>
      <c r="S115" s="68">
        <f t="shared" ref="S115:S116" si="70">SUM($O$2)</f>
        <v>0.65</v>
      </c>
      <c r="T115" s="120">
        <f t="shared" si="68"/>
        <v>0</v>
      </c>
      <c r="U115" s="67">
        <f t="shared" si="69"/>
        <v>375</v>
      </c>
      <c r="V115" s="149"/>
    </row>
    <row r="116" spans="1:22" ht="54" customHeight="1">
      <c r="A116" s="149"/>
      <c r="B116" s="155"/>
      <c r="C116" s="157"/>
      <c r="D116" s="159"/>
      <c r="E116" s="161"/>
      <c r="F116" s="69"/>
      <c r="G116" s="98"/>
      <c r="H116" s="98"/>
      <c r="I116" s="98"/>
      <c r="J116" s="98"/>
      <c r="K116" s="70"/>
      <c r="L116" s="133"/>
      <c r="M116" s="134"/>
      <c r="N116" s="135" t="s">
        <v>142</v>
      </c>
      <c r="O116" s="136"/>
      <c r="P116" s="136"/>
      <c r="Q116" s="136"/>
      <c r="R116" s="113">
        <f t="shared" si="67"/>
        <v>0</v>
      </c>
      <c r="S116" s="68">
        <f t="shared" si="70"/>
        <v>0.65</v>
      </c>
      <c r="T116" s="120">
        <f t="shared" si="68"/>
        <v>0</v>
      </c>
      <c r="U116" s="67">
        <f t="shared" si="69"/>
        <v>375</v>
      </c>
      <c r="V116" s="149"/>
    </row>
    <row r="117" spans="1:22" ht="54" customHeight="1" thickBot="1">
      <c r="A117" s="149"/>
      <c r="B117" s="156"/>
      <c r="C117" s="158"/>
      <c r="D117" s="160"/>
      <c r="E117" s="162"/>
      <c r="F117" s="76"/>
      <c r="G117" s="77"/>
      <c r="H117" s="77"/>
      <c r="I117" s="77"/>
      <c r="J117" s="77"/>
      <c r="K117" s="78"/>
      <c r="L117" s="79"/>
      <c r="M117" s="80"/>
      <c r="N117" s="81" t="s">
        <v>37</v>
      </c>
      <c r="O117" s="82"/>
      <c r="P117" s="82"/>
      <c r="Q117" s="82"/>
      <c r="R117" s="114"/>
      <c r="S117" s="83"/>
      <c r="T117" s="121"/>
      <c r="U117" s="84"/>
      <c r="V117" s="149"/>
    </row>
    <row r="118" spans="1:22" ht="54" customHeight="1">
      <c r="A118" s="149"/>
      <c r="B118" s="154" t="s">
        <v>162</v>
      </c>
      <c r="C118" s="157" t="s">
        <v>111</v>
      </c>
      <c r="D118" s="159" t="s">
        <v>112</v>
      </c>
      <c r="E118" s="161"/>
      <c r="F118" s="85">
        <v>87</v>
      </c>
      <c r="G118" s="86">
        <v>42</v>
      </c>
      <c r="H118" s="86">
        <v>9</v>
      </c>
      <c r="I118" s="86">
        <v>87</v>
      </c>
      <c r="J118" s="86">
        <v>45</v>
      </c>
      <c r="K118" s="87">
        <v>2.5</v>
      </c>
      <c r="L118" s="64" t="s">
        <v>43</v>
      </c>
      <c r="M118" s="65" t="s">
        <v>15</v>
      </c>
      <c r="N118" s="66" t="s">
        <v>130</v>
      </c>
      <c r="O118" s="67">
        <v>450</v>
      </c>
      <c r="P118" s="67">
        <v>350</v>
      </c>
      <c r="Q118" s="67">
        <v>350</v>
      </c>
      <c r="R118" s="113">
        <f t="shared" ref="R118:R122" si="71">SUM(O118*P118*Q118*7.85/1000000)</f>
        <v>432.73124999999999</v>
      </c>
      <c r="S118" s="68">
        <v>0.65</v>
      </c>
      <c r="T118" s="120">
        <f t="shared" ref="T118:T122" si="72">SUM(R118*S118)</f>
        <v>281.27531249999998</v>
      </c>
      <c r="U118" s="67">
        <f>SUM($O$1)</f>
        <v>375</v>
      </c>
      <c r="V118" s="149"/>
    </row>
    <row r="119" spans="1:22" ht="54" customHeight="1">
      <c r="A119" s="149"/>
      <c r="B119" s="155"/>
      <c r="C119" s="157"/>
      <c r="D119" s="159"/>
      <c r="E119" s="161"/>
      <c r="F119" s="69"/>
      <c r="G119" s="63"/>
      <c r="H119" s="63"/>
      <c r="I119" s="63"/>
      <c r="J119" s="63"/>
      <c r="K119" s="70"/>
      <c r="L119" s="71"/>
      <c r="M119" s="72" t="s">
        <v>98</v>
      </c>
      <c r="N119" s="104" t="s">
        <v>138</v>
      </c>
      <c r="O119" s="67">
        <v>400</v>
      </c>
      <c r="P119" s="67">
        <v>300</v>
      </c>
      <c r="Q119" s="67">
        <v>350</v>
      </c>
      <c r="R119" s="113">
        <f t="shared" si="71"/>
        <v>329.7</v>
      </c>
      <c r="S119" s="68">
        <v>0.65</v>
      </c>
      <c r="T119" s="120">
        <f t="shared" si="72"/>
        <v>214.30500000000001</v>
      </c>
      <c r="U119" s="67">
        <f t="shared" ref="U119:U122" si="73">SUM($O$1)</f>
        <v>375</v>
      </c>
      <c r="V119" s="149"/>
    </row>
    <row r="120" spans="1:22" ht="54" customHeight="1">
      <c r="A120" s="149"/>
      <c r="B120" s="155"/>
      <c r="C120" s="157"/>
      <c r="D120" s="159"/>
      <c r="E120" s="161"/>
      <c r="F120" s="69"/>
      <c r="G120" s="63"/>
      <c r="H120" s="63"/>
      <c r="I120" s="63"/>
      <c r="J120" s="63"/>
      <c r="K120" s="70"/>
      <c r="L120" s="71"/>
      <c r="M120" s="72" t="s">
        <v>131</v>
      </c>
      <c r="N120" s="73" t="s">
        <v>129</v>
      </c>
      <c r="O120" s="75">
        <v>400</v>
      </c>
      <c r="P120" s="67">
        <v>300</v>
      </c>
      <c r="Q120" s="75">
        <v>350</v>
      </c>
      <c r="R120" s="113">
        <f t="shared" si="71"/>
        <v>329.7</v>
      </c>
      <c r="S120" s="68">
        <v>0.65</v>
      </c>
      <c r="T120" s="120">
        <f t="shared" si="72"/>
        <v>214.30500000000001</v>
      </c>
      <c r="U120" s="67">
        <f t="shared" si="73"/>
        <v>375</v>
      </c>
      <c r="V120" s="149"/>
    </row>
    <row r="121" spans="1:22" ht="54" customHeight="1">
      <c r="A121" s="149"/>
      <c r="B121" s="155"/>
      <c r="C121" s="157"/>
      <c r="D121" s="159"/>
      <c r="E121" s="161"/>
      <c r="F121" s="69"/>
      <c r="G121" s="98"/>
      <c r="H121" s="98"/>
      <c r="I121" s="98"/>
      <c r="J121" s="98"/>
      <c r="K121" s="70"/>
      <c r="L121" s="133"/>
      <c r="M121" s="134"/>
      <c r="N121" s="135"/>
      <c r="O121" s="136"/>
      <c r="P121" s="136"/>
      <c r="Q121" s="136"/>
      <c r="R121" s="113">
        <f t="shared" si="71"/>
        <v>0</v>
      </c>
      <c r="S121" s="68">
        <f t="shared" ref="S121:S122" si="74">SUM($O$2)</f>
        <v>0.65</v>
      </c>
      <c r="T121" s="120">
        <f t="shared" si="72"/>
        <v>0</v>
      </c>
      <c r="U121" s="67">
        <f t="shared" si="73"/>
        <v>375</v>
      </c>
      <c r="V121" s="149"/>
    </row>
    <row r="122" spans="1:22" ht="54" customHeight="1">
      <c r="A122" s="149"/>
      <c r="B122" s="155"/>
      <c r="C122" s="157"/>
      <c r="D122" s="159"/>
      <c r="E122" s="161"/>
      <c r="F122" s="69"/>
      <c r="G122" s="98"/>
      <c r="H122" s="98"/>
      <c r="I122" s="98"/>
      <c r="J122" s="98"/>
      <c r="K122" s="70"/>
      <c r="L122" s="133"/>
      <c r="M122" s="134"/>
      <c r="N122" s="135" t="s">
        <v>142</v>
      </c>
      <c r="O122" s="136"/>
      <c r="P122" s="136"/>
      <c r="Q122" s="136"/>
      <c r="R122" s="113">
        <f t="shared" si="71"/>
        <v>0</v>
      </c>
      <c r="S122" s="68">
        <f t="shared" si="74"/>
        <v>0.65</v>
      </c>
      <c r="T122" s="120">
        <f t="shared" si="72"/>
        <v>0</v>
      </c>
      <c r="U122" s="67">
        <f t="shared" si="73"/>
        <v>375</v>
      </c>
      <c r="V122" s="149"/>
    </row>
    <row r="123" spans="1:22" ht="54" customHeight="1" thickBot="1">
      <c r="A123" s="149"/>
      <c r="B123" s="156"/>
      <c r="C123" s="158"/>
      <c r="D123" s="160"/>
      <c r="E123" s="162"/>
      <c r="F123" s="76"/>
      <c r="G123" s="77"/>
      <c r="H123" s="77"/>
      <c r="I123" s="77"/>
      <c r="J123" s="77"/>
      <c r="K123" s="78"/>
      <c r="L123" s="79"/>
      <c r="M123" s="80"/>
      <c r="N123" s="81" t="s">
        <v>37</v>
      </c>
      <c r="O123" s="82"/>
      <c r="P123" s="82"/>
      <c r="Q123" s="82"/>
      <c r="R123" s="114"/>
      <c r="S123" s="83"/>
      <c r="T123" s="121"/>
      <c r="U123" s="84"/>
      <c r="V123" s="149"/>
    </row>
    <row r="124" spans="1:22" ht="54" customHeight="1">
      <c r="A124" s="149"/>
      <c r="B124" s="154" t="s">
        <v>163</v>
      </c>
      <c r="C124" s="157" t="s">
        <v>113</v>
      </c>
      <c r="D124" s="159" t="s">
        <v>114</v>
      </c>
      <c r="E124" s="161"/>
      <c r="F124" s="85">
        <v>38</v>
      </c>
      <c r="G124" s="86">
        <v>26</v>
      </c>
      <c r="H124" s="86">
        <v>3</v>
      </c>
      <c r="I124" s="86">
        <v>38</v>
      </c>
      <c r="J124" s="86">
        <v>26</v>
      </c>
      <c r="K124" s="87">
        <v>3</v>
      </c>
      <c r="L124" s="64" t="s">
        <v>43</v>
      </c>
      <c r="M124" s="65" t="s">
        <v>15</v>
      </c>
      <c r="N124" s="66" t="s">
        <v>130</v>
      </c>
      <c r="O124" s="67">
        <v>350</v>
      </c>
      <c r="P124" s="67">
        <v>350</v>
      </c>
      <c r="Q124" s="67">
        <v>350</v>
      </c>
      <c r="R124" s="113">
        <f t="shared" ref="R124:R128" si="75">SUM(O124*P124*Q124*7.85/1000000)</f>
        <v>336.56875000000002</v>
      </c>
      <c r="S124" s="68">
        <v>0.65</v>
      </c>
      <c r="T124" s="120">
        <f t="shared" ref="T124:T128" si="76">SUM(R124*S124)</f>
        <v>218.76968750000003</v>
      </c>
      <c r="U124" s="67">
        <f>SUM($O$1)</f>
        <v>375</v>
      </c>
      <c r="V124" s="149"/>
    </row>
    <row r="125" spans="1:22" ht="54" customHeight="1">
      <c r="A125" s="149"/>
      <c r="B125" s="155"/>
      <c r="C125" s="157"/>
      <c r="D125" s="159"/>
      <c r="E125" s="161"/>
      <c r="F125" s="69"/>
      <c r="G125" s="63"/>
      <c r="H125" s="63"/>
      <c r="I125" s="63"/>
      <c r="J125" s="63"/>
      <c r="K125" s="70"/>
      <c r="L125" s="71"/>
      <c r="M125" s="72" t="s">
        <v>98</v>
      </c>
      <c r="N125" s="104" t="s">
        <v>138</v>
      </c>
      <c r="O125" s="67">
        <v>300</v>
      </c>
      <c r="P125" s="67">
        <v>300</v>
      </c>
      <c r="Q125" s="67">
        <v>300</v>
      </c>
      <c r="R125" s="113">
        <f t="shared" si="75"/>
        <v>211.95</v>
      </c>
      <c r="S125" s="68">
        <v>0.65</v>
      </c>
      <c r="T125" s="120">
        <f t="shared" si="76"/>
        <v>137.76749999999998</v>
      </c>
      <c r="U125" s="67">
        <f t="shared" ref="U125:U128" si="77">SUM($O$1)</f>
        <v>375</v>
      </c>
      <c r="V125" s="149"/>
    </row>
    <row r="126" spans="1:22" ht="54" customHeight="1">
      <c r="A126" s="149"/>
      <c r="B126" s="155"/>
      <c r="C126" s="157"/>
      <c r="D126" s="159"/>
      <c r="E126" s="161"/>
      <c r="F126" s="69"/>
      <c r="G126" s="63"/>
      <c r="H126" s="63"/>
      <c r="I126" s="63"/>
      <c r="J126" s="63"/>
      <c r="K126" s="70"/>
      <c r="L126" s="71"/>
      <c r="M126" s="72"/>
      <c r="N126" s="73"/>
      <c r="O126" s="75"/>
      <c r="P126" s="75"/>
      <c r="Q126" s="75"/>
      <c r="R126" s="113">
        <f t="shared" si="75"/>
        <v>0</v>
      </c>
      <c r="S126" s="68">
        <v>0.65</v>
      </c>
      <c r="T126" s="120">
        <f t="shared" si="76"/>
        <v>0</v>
      </c>
      <c r="U126" s="67">
        <f t="shared" si="77"/>
        <v>375</v>
      </c>
      <c r="V126" s="149"/>
    </row>
    <row r="127" spans="1:22" ht="54" customHeight="1">
      <c r="A127" s="149"/>
      <c r="B127" s="155"/>
      <c r="C127" s="157"/>
      <c r="D127" s="159"/>
      <c r="E127" s="161"/>
      <c r="F127" s="69"/>
      <c r="G127" s="98"/>
      <c r="H127" s="98"/>
      <c r="I127" s="98"/>
      <c r="J127" s="98"/>
      <c r="K127" s="70"/>
      <c r="L127" s="133"/>
      <c r="M127" s="134"/>
      <c r="N127" s="135"/>
      <c r="O127" s="136"/>
      <c r="P127" s="136"/>
      <c r="Q127" s="136"/>
      <c r="R127" s="113">
        <f t="shared" si="75"/>
        <v>0</v>
      </c>
      <c r="S127" s="68">
        <f t="shared" ref="S127:S128" si="78">SUM($O$2)</f>
        <v>0.65</v>
      </c>
      <c r="T127" s="120">
        <f t="shared" si="76"/>
        <v>0</v>
      </c>
      <c r="U127" s="67">
        <f t="shared" si="77"/>
        <v>375</v>
      </c>
      <c r="V127" s="149"/>
    </row>
    <row r="128" spans="1:22" ht="54" customHeight="1">
      <c r="A128" s="149"/>
      <c r="B128" s="155"/>
      <c r="C128" s="157"/>
      <c r="D128" s="159"/>
      <c r="E128" s="161"/>
      <c r="F128" s="69"/>
      <c r="G128" s="98"/>
      <c r="H128" s="98"/>
      <c r="I128" s="98"/>
      <c r="J128" s="98"/>
      <c r="K128" s="70"/>
      <c r="L128" s="133"/>
      <c r="M128" s="134"/>
      <c r="N128" s="135" t="s">
        <v>142</v>
      </c>
      <c r="O128" s="136"/>
      <c r="P128" s="136"/>
      <c r="Q128" s="136"/>
      <c r="R128" s="113">
        <f t="shared" si="75"/>
        <v>0</v>
      </c>
      <c r="S128" s="68">
        <f t="shared" si="78"/>
        <v>0.65</v>
      </c>
      <c r="T128" s="120">
        <f t="shared" si="76"/>
        <v>0</v>
      </c>
      <c r="U128" s="67">
        <f t="shared" si="77"/>
        <v>375</v>
      </c>
      <c r="V128" s="149"/>
    </row>
    <row r="129" spans="1:22" ht="54" customHeight="1" thickBot="1">
      <c r="A129" s="149"/>
      <c r="B129" s="156"/>
      <c r="C129" s="158"/>
      <c r="D129" s="160"/>
      <c r="E129" s="162"/>
      <c r="F129" s="76"/>
      <c r="G129" s="77"/>
      <c r="H129" s="77"/>
      <c r="I129" s="77"/>
      <c r="J129" s="77"/>
      <c r="K129" s="78"/>
      <c r="L129" s="79"/>
      <c r="M129" s="80"/>
      <c r="N129" s="81" t="s">
        <v>37</v>
      </c>
      <c r="O129" s="82"/>
      <c r="P129" s="82"/>
      <c r="Q129" s="82"/>
      <c r="R129" s="114"/>
      <c r="S129" s="83"/>
      <c r="T129" s="121"/>
      <c r="U129" s="84"/>
      <c r="V129" s="149"/>
    </row>
    <row r="130" spans="1:22" ht="54" customHeight="1">
      <c r="A130" s="149"/>
      <c r="B130" s="154" t="s">
        <v>98</v>
      </c>
      <c r="C130" s="157" t="s">
        <v>115</v>
      </c>
      <c r="D130" s="159" t="s">
        <v>116</v>
      </c>
      <c r="E130" s="161"/>
      <c r="F130" s="85">
        <v>243</v>
      </c>
      <c r="G130" s="86" t="s">
        <v>127</v>
      </c>
      <c r="H130" s="86">
        <v>25</v>
      </c>
      <c r="I130" s="86"/>
      <c r="J130" s="86"/>
      <c r="K130" s="87"/>
      <c r="L130" s="64" t="s">
        <v>43</v>
      </c>
      <c r="M130" s="65" t="s">
        <v>15</v>
      </c>
      <c r="N130" s="66"/>
      <c r="O130" s="67"/>
      <c r="P130" s="67"/>
      <c r="Q130" s="67"/>
      <c r="R130" s="113">
        <f t="shared" ref="R130:R134" si="79">SUM(O130*P130*Q130*7.85/1000000)</f>
        <v>0</v>
      </c>
      <c r="S130" s="68">
        <v>0.65</v>
      </c>
      <c r="T130" s="120">
        <f t="shared" ref="T130:T134" si="80">SUM(R130*S130)</f>
        <v>0</v>
      </c>
      <c r="U130" s="67">
        <f>SUM($O$1)</f>
        <v>375</v>
      </c>
      <c r="V130" s="149"/>
    </row>
    <row r="131" spans="1:22" ht="54" customHeight="1">
      <c r="A131" s="149"/>
      <c r="B131" s="155"/>
      <c r="C131" s="157"/>
      <c r="D131" s="159"/>
      <c r="E131" s="161"/>
      <c r="F131" s="69"/>
      <c r="G131" s="63"/>
      <c r="H131" s="63"/>
      <c r="I131" s="63"/>
      <c r="J131" s="63"/>
      <c r="K131" s="70"/>
      <c r="L131" s="71"/>
      <c r="M131" s="72"/>
      <c r="N131" s="73"/>
      <c r="O131" s="67"/>
      <c r="P131" s="67"/>
      <c r="Q131" s="67"/>
      <c r="R131" s="113">
        <f t="shared" si="79"/>
        <v>0</v>
      </c>
      <c r="S131" s="68">
        <v>0.65</v>
      </c>
      <c r="T131" s="120">
        <f t="shared" si="80"/>
        <v>0</v>
      </c>
      <c r="U131" s="67">
        <f t="shared" ref="U131:U134" si="81">SUM($O$1)</f>
        <v>375</v>
      </c>
      <c r="V131" s="149"/>
    </row>
    <row r="132" spans="1:22" ht="54" customHeight="1">
      <c r="A132" s="149"/>
      <c r="B132" s="155"/>
      <c r="C132" s="157"/>
      <c r="D132" s="159"/>
      <c r="E132" s="161"/>
      <c r="F132" s="69"/>
      <c r="G132" s="63"/>
      <c r="H132" s="63"/>
      <c r="I132" s="63"/>
      <c r="J132" s="63"/>
      <c r="K132" s="70"/>
      <c r="L132" s="71"/>
      <c r="M132" s="72"/>
      <c r="N132" s="73"/>
      <c r="O132" s="67"/>
      <c r="P132" s="67"/>
      <c r="Q132" s="67"/>
      <c r="R132" s="113">
        <f t="shared" si="79"/>
        <v>0</v>
      </c>
      <c r="S132" s="68">
        <v>0.65</v>
      </c>
      <c r="T132" s="120">
        <f t="shared" si="80"/>
        <v>0</v>
      </c>
      <c r="U132" s="67">
        <f t="shared" si="81"/>
        <v>375</v>
      </c>
      <c r="V132" s="149"/>
    </row>
    <row r="133" spans="1:22" ht="54" customHeight="1">
      <c r="A133" s="149"/>
      <c r="B133" s="155"/>
      <c r="C133" s="157"/>
      <c r="D133" s="159"/>
      <c r="E133" s="161"/>
      <c r="F133" s="69"/>
      <c r="G133" s="98"/>
      <c r="H133" s="98"/>
      <c r="I133" s="98"/>
      <c r="J133" s="98"/>
      <c r="K133" s="70"/>
      <c r="L133" s="133"/>
      <c r="M133" s="134"/>
      <c r="N133" s="135"/>
      <c r="O133" s="136"/>
      <c r="P133" s="136"/>
      <c r="Q133" s="136"/>
      <c r="R133" s="113">
        <f t="shared" si="79"/>
        <v>0</v>
      </c>
      <c r="S133" s="68">
        <f t="shared" ref="S133:S134" si="82">SUM($O$2)</f>
        <v>0.65</v>
      </c>
      <c r="T133" s="120">
        <f t="shared" si="80"/>
        <v>0</v>
      </c>
      <c r="U133" s="67">
        <f t="shared" si="81"/>
        <v>375</v>
      </c>
      <c r="V133" s="149"/>
    </row>
    <row r="134" spans="1:22" ht="54" customHeight="1">
      <c r="A134" s="149"/>
      <c r="B134" s="155"/>
      <c r="C134" s="157"/>
      <c r="D134" s="159"/>
      <c r="E134" s="161"/>
      <c r="F134" s="69"/>
      <c r="G134" s="98"/>
      <c r="H134" s="98"/>
      <c r="I134" s="98"/>
      <c r="J134" s="98"/>
      <c r="K134" s="70"/>
      <c r="L134" s="133"/>
      <c r="M134" s="134"/>
      <c r="N134" s="135" t="s">
        <v>142</v>
      </c>
      <c r="O134" s="136"/>
      <c r="P134" s="136"/>
      <c r="Q134" s="136"/>
      <c r="R134" s="113">
        <f t="shared" si="79"/>
        <v>0</v>
      </c>
      <c r="S134" s="68">
        <f t="shared" si="82"/>
        <v>0.65</v>
      </c>
      <c r="T134" s="120">
        <f t="shared" si="80"/>
        <v>0</v>
      </c>
      <c r="U134" s="67">
        <f t="shared" si="81"/>
        <v>375</v>
      </c>
      <c r="V134" s="149"/>
    </row>
    <row r="135" spans="1:22" ht="54" customHeight="1" thickBot="1">
      <c r="A135" s="149"/>
      <c r="B135" s="156"/>
      <c r="C135" s="158"/>
      <c r="D135" s="160"/>
      <c r="E135" s="162"/>
      <c r="F135" s="76"/>
      <c r="G135" s="77"/>
      <c r="H135" s="77"/>
      <c r="I135" s="77"/>
      <c r="J135" s="77"/>
      <c r="K135" s="78"/>
      <c r="L135" s="79"/>
      <c r="M135" s="80"/>
      <c r="N135" s="81" t="s">
        <v>37</v>
      </c>
      <c r="O135" s="82"/>
      <c r="P135" s="82"/>
      <c r="Q135" s="82"/>
      <c r="R135" s="114"/>
      <c r="S135" s="83"/>
      <c r="T135" s="121"/>
      <c r="U135" s="84"/>
      <c r="V135" s="149"/>
    </row>
    <row r="136" spans="1:22" ht="54" customHeight="1" thickBot="1">
      <c r="A136" s="149"/>
      <c r="B136" s="154" t="s">
        <v>164</v>
      </c>
      <c r="C136" s="157" t="s">
        <v>117</v>
      </c>
      <c r="D136" s="159" t="s">
        <v>118</v>
      </c>
      <c r="E136" s="161"/>
      <c r="F136" s="85">
        <v>375</v>
      </c>
      <c r="G136" s="86">
        <v>49.5</v>
      </c>
      <c r="H136" s="86">
        <v>37.5</v>
      </c>
      <c r="I136" s="86">
        <v>375</v>
      </c>
      <c r="J136" s="86">
        <v>87</v>
      </c>
      <c r="K136" s="87">
        <v>3</v>
      </c>
      <c r="L136" s="64" t="s">
        <v>43</v>
      </c>
      <c r="M136" s="65" t="s">
        <v>15</v>
      </c>
      <c r="N136" s="66" t="s">
        <v>128</v>
      </c>
      <c r="O136" s="189" t="s">
        <v>141</v>
      </c>
      <c r="P136" s="190"/>
      <c r="Q136" s="191"/>
      <c r="R136" s="113" t="e">
        <f t="shared" ref="R136:R140" si="83">SUM(O136*P136*Q136*7.85/1000000)</f>
        <v>#VALUE!</v>
      </c>
      <c r="S136" s="68">
        <v>0.65</v>
      </c>
      <c r="T136" s="120" t="e">
        <f t="shared" ref="T136:T138" si="84">SUM(R136*S136)</f>
        <v>#VALUE!</v>
      </c>
      <c r="U136" s="67">
        <f>SUM($O$1)</f>
        <v>375</v>
      </c>
      <c r="V136" s="149"/>
    </row>
    <row r="137" spans="1:22" ht="54" customHeight="1">
      <c r="A137" s="149"/>
      <c r="B137" s="155"/>
      <c r="C137" s="157"/>
      <c r="D137" s="159"/>
      <c r="E137" s="161"/>
      <c r="F137" s="69"/>
      <c r="G137" s="63"/>
      <c r="H137" s="63"/>
      <c r="I137" s="63"/>
      <c r="J137" s="63"/>
      <c r="K137" s="70"/>
      <c r="L137" s="71"/>
      <c r="M137" s="72" t="s">
        <v>98</v>
      </c>
      <c r="N137" s="73" t="s">
        <v>138</v>
      </c>
      <c r="O137" s="189" t="s">
        <v>141</v>
      </c>
      <c r="P137" s="190"/>
      <c r="Q137" s="191"/>
      <c r="R137" s="113" t="e">
        <f t="shared" si="83"/>
        <v>#VALUE!</v>
      </c>
      <c r="S137" s="68">
        <v>0.65</v>
      </c>
      <c r="T137" s="120" t="e">
        <f t="shared" si="84"/>
        <v>#VALUE!</v>
      </c>
      <c r="U137" s="67">
        <f t="shared" ref="U137:U140" si="85">SUM($O$1)</f>
        <v>375</v>
      </c>
      <c r="V137" s="149"/>
    </row>
    <row r="138" spans="1:22" ht="54" customHeight="1">
      <c r="A138" s="149"/>
      <c r="B138" s="155"/>
      <c r="C138" s="157"/>
      <c r="D138" s="159"/>
      <c r="E138" s="161"/>
      <c r="F138" s="69"/>
      <c r="G138" s="63"/>
      <c r="H138" s="63"/>
      <c r="I138" s="63"/>
      <c r="J138" s="63"/>
      <c r="K138" s="70"/>
      <c r="L138" s="71"/>
      <c r="M138" s="65" t="s">
        <v>131</v>
      </c>
      <c r="N138" s="73" t="s">
        <v>135</v>
      </c>
      <c r="O138" s="67">
        <v>750</v>
      </c>
      <c r="P138" s="67">
        <v>400</v>
      </c>
      <c r="Q138" s="67">
        <v>350</v>
      </c>
      <c r="R138" s="113">
        <f t="shared" si="83"/>
        <v>824.25</v>
      </c>
      <c r="S138" s="68">
        <v>0.65</v>
      </c>
      <c r="T138" s="120">
        <f t="shared" si="84"/>
        <v>535.76250000000005</v>
      </c>
      <c r="U138" s="67">
        <f t="shared" si="85"/>
        <v>375</v>
      </c>
      <c r="V138" s="149"/>
    </row>
    <row r="139" spans="1:22" ht="54" customHeight="1">
      <c r="A139" s="149"/>
      <c r="B139" s="155"/>
      <c r="C139" s="157"/>
      <c r="D139" s="159"/>
      <c r="E139" s="161"/>
      <c r="F139" s="69"/>
      <c r="G139" s="63"/>
      <c r="H139" s="63"/>
      <c r="I139" s="63"/>
      <c r="J139" s="63"/>
      <c r="K139" s="70"/>
      <c r="L139" s="71"/>
      <c r="M139" s="72" t="s">
        <v>139</v>
      </c>
      <c r="N139" s="73" t="s">
        <v>136</v>
      </c>
      <c r="O139" s="75">
        <v>700</v>
      </c>
      <c r="P139" s="75">
        <v>400</v>
      </c>
      <c r="Q139" s="75">
        <v>350</v>
      </c>
      <c r="R139" s="113">
        <f t="shared" si="83"/>
        <v>769.3</v>
      </c>
      <c r="S139" s="68">
        <v>0.65</v>
      </c>
      <c r="T139" s="120">
        <v>375</v>
      </c>
      <c r="U139" s="67">
        <f t="shared" si="85"/>
        <v>375</v>
      </c>
      <c r="V139" s="149"/>
    </row>
    <row r="140" spans="1:22" ht="54" customHeight="1">
      <c r="A140" s="149"/>
      <c r="B140" s="155"/>
      <c r="C140" s="157"/>
      <c r="D140" s="159"/>
      <c r="E140" s="161"/>
      <c r="F140" s="69"/>
      <c r="G140" s="98"/>
      <c r="H140" s="98"/>
      <c r="I140" s="98"/>
      <c r="J140" s="98"/>
      <c r="K140" s="70"/>
      <c r="L140" s="133"/>
      <c r="M140" s="134"/>
      <c r="N140" s="135" t="s">
        <v>142</v>
      </c>
      <c r="O140" s="136"/>
      <c r="P140" s="136"/>
      <c r="Q140" s="136"/>
      <c r="R140" s="113">
        <f t="shared" si="83"/>
        <v>0</v>
      </c>
      <c r="S140" s="68">
        <f t="shared" ref="S140" si="86">SUM($O$2)</f>
        <v>0.65</v>
      </c>
      <c r="T140" s="120">
        <f t="shared" ref="T140" si="87">SUM(R140*S140)</f>
        <v>0</v>
      </c>
      <c r="U140" s="67">
        <f t="shared" si="85"/>
        <v>375</v>
      </c>
      <c r="V140" s="149"/>
    </row>
    <row r="141" spans="1:22" ht="54" customHeight="1" thickBot="1">
      <c r="A141" s="149"/>
      <c r="B141" s="156"/>
      <c r="C141" s="158"/>
      <c r="D141" s="160"/>
      <c r="E141" s="162"/>
      <c r="F141" s="76"/>
      <c r="G141" s="77"/>
      <c r="H141" s="77"/>
      <c r="I141" s="77"/>
      <c r="J141" s="77"/>
      <c r="K141" s="78"/>
      <c r="L141" s="79"/>
      <c r="M141" s="80"/>
      <c r="N141" s="81" t="s">
        <v>37</v>
      </c>
      <c r="O141" s="82"/>
      <c r="P141" s="82"/>
      <c r="Q141" s="82"/>
      <c r="R141" s="114"/>
      <c r="S141" s="83"/>
      <c r="T141" s="121"/>
      <c r="U141" s="84"/>
      <c r="V141" s="149"/>
    </row>
    <row r="142" spans="1:22" ht="54" customHeight="1">
      <c r="A142" s="149"/>
      <c r="B142" s="154" t="s">
        <v>165</v>
      </c>
      <c r="C142" s="157" t="s">
        <v>119</v>
      </c>
      <c r="D142" s="159" t="s">
        <v>120</v>
      </c>
      <c r="E142" s="161"/>
      <c r="F142" s="85">
        <v>157</v>
      </c>
      <c r="G142" s="86">
        <v>10</v>
      </c>
      <c r="H142" s="86"/>
      <c r="I142" s="86"/>
      <c r="J142" s="86"/>
      <c r="K142" s="87"/>
      <c r="L142" s="64" t="s">
        <v>43</v>
      </c>
      <c r="M142" s="65" t="s">
        <v>15</v>
      </c>
      <c r="N142" s="66"/>
      <c r="O142" s="67"/>
      <c r="P142" s="67"/>
      <c r="Q142" s="67"/>
      <c r="R142" s="113">
        <f t="shared" ref="R142:R146" si="88">SUM(O142*P142*Q142*7.85/1000000)</f>
        <v>0</v>
      </c>
      <c r="S142" s="68">
        <v>0.65</v>
      </c>
      <c r="T142" s="120">
        <f t="shared" ref="T142:T144" si="89">SUM(R142*S142)</f>
        <v>0</v>
      </c>
      <c r="U142" s="67">
        <f>SUM($O$1)</f>
        <v>375</v>
      </c>
      <c r="V142" s="149"/>
    </row>
    <row r="143" spans="1:22" ht="54" customHeight="1">
      <c r="A143" s="149"/>
      <c r="B143" s="155"/>
      <c r="C143" s="157"/>
      <c r="D143" s="159"/>
      <c r="E143" s="161"/>
      <c r="F143" s="69"/>
      <c r="G143" s="63"/>
      <c r="H143" s="63"/>
      <c r="I143" s="63"/>
      <c r="J143" s="63"/>
      <c r="K143" s="70"/>
      <c r="L143" s="71"/>
      <c r="M143" s="72" t="s">
        <v>98</v>
      </c>
      <c r="N143" s="73"/>
      <c r="O143" s="67"/>
      <c r="P143" s="67"/>
      <c r="Q143" s="67"/>
      <c r="R143" s="113">
        <f t="shared" si="88"/>
        <v>0</v>
      </c>
      <c r="S143" s="68">
        <v>0.65</v>
      </c>
      <c r="T143" s="120">
        <f t="shared" si="89"/>
        <v>0</v>
      </c>
      <c r="U143" s="67">
        <f t="shared" ref="U143:U144" si="90">SUM($O$1)</f>
        <v>375</v>
      </c>
      <c r="V143" s="149"/>
    </row>
    <row r="144" spans="1:22" ht="54" customHeight="1">
      <c r="A144" s="149"/>
      <c r="B144" s="155"/>
      <c r="C144" s="157"/>
      <c r="D144" s="159"/>
      <c r="E144" s="161"/>
      <c r="F144" s="69"/>
      <c r="G144" s="63"/>
      <c r="H144" s="63"/>
      <c r="I144" s="63"/>
      <c r="J144" s="63"/>
      <c r="K144" s="70"/>
      <c r="L144" s="71"/>
      <c r="M144" s="72"/>
      <c r="N144" s="73"/>
      <c r="O144" s="67"/>
      <c r="P144" s="67"/>
      <c r="Q144" s="67"/>
      <c r="R144" s="113">
        <f t="shared" si="88"/>
        <v>0</v>
      </c>
      <c r="S144" s="68">
        <v>0.65</v>
      </c>
      <c r="T144" s="120">
        <f t="shared" si="89"/>
        <v>0</v>
      </c>
      <c r="U144" s="67">
        <f t="shared" si="90"/>
        <v>375</v>
      </c>
      <c r="V144" s="149"/>
    </row>
    <row r="145" spans="1:22" ht="54" customHeight="1">
      <c r="A145" s="149"/>
      <c r="B145" s="155"/>
      <c r="C145" s="157"/>
      <c r="D145" s="159"/>
      <c r="E145" s="161"/>
      <c r="F145" s="69"/>
      <c r="G145" s="63"/>
      <c r="H145" s="63"/>
      <c r="I145" s="63"/>
      <c r="J145" s="63"/>
      <c r="K145" s="70"/>
      <c r="L145" s="71"/>
      <c r="M145" s="72"/>
      <c r="N145" s="73"/>
      <c r="O145" s="75"/>
      <c r="P145" s="75"/>
      <c r="Q145" s="75"/>
      <c r="R145" s="113">
        <f t="shared" si="88"/>
        <v>0</v>
      </c>
      <c r="S145" s="74"/>
      <c r="T145" s="123"/>
      <c r="U145" s="75"/>
      <c r="V145" s="149"/>
    </row>
    <row r="146" spans="1:22" ht="54" customHeight="1">
      <c r="A146" s="149"/>
      <c r="B146" s="155"/>
      <c r="C146" s="157"/>
      <c r="D146" s="159"/>
      <c r="E146" s="161"/>
      <c r="F146" s="69"/>
      <c r="G146" s="98"/>
      <c r="H146" s="98"/>
      <c r="I146" s="98"/>
      <c r="J146" s="98"/>
      <c r="K146" s="70"/>
      <c r="L146" s="133"/>
      <c r="M146" s="134"/>
      <c r="N146" s="135" t="s">
        <v>142</v>
      </c>
      <c r="O146" s="136"/>
      <c r="P146" s="136"/>
      <c r="Q146" s="136"/>
      <c r="R146" s="113">
        <f t="shared" si="88"/>
        <v>0</v>
      </c>
      <c r="S146" s="68">
        <f t="shared" ref="S146" si="91">SUM($O$2)</f>
        <v>0.65</v>
      </c>
      <c r="T146" s="120">
        <f t="shared" ref="T146" si="92">SUM(R146*S146)</f>
        <v>0</v>
      </c>
      <c r="U146" s="67">
        <f t="shared" ref="U146" si="93">SUM($O$1)</f>
        <v>375</v>
      </c>
      <c r="V146" s="149"/>
    </row>
    <row r="147" spans="1:22" ht="54" customHeight="1" thickBot="1">
      <c r="A147" s="149"/>
      <c r="B147" s="156"/>
      <c r="C147" s="158"/>
      <c r="D147" s="160"/>
      <c r="E147" s="162"/>
      <c r="F147" s="76"/>
      <c r="G147" s="77"/>
      <c r="H147" s="77"/>
      <c r="I147" s="77"/>
      <c r="J147" s="77"/>
      <c r="K147" s="78"/>
      <c r="L147" s="79"/>
      <c r="M147" s="80"/>
      <c r="N147" s="81" t="s">
        <v>37</v>
      </c>
      <c r="O147" s="82"/>
      <c r="P147" s="82"/>
      <c r="Q147" s="82"/>
      <c r="R147" s="114"/>
      <c r="S147" s="83"/>
      <c r="T147" s="121"/>
      <c r="U147" s="84"/>
      <c r="V147" s="149"/>
    </row>
    <row r="148" spans="1:22" ht="54" customHeight="1">
      <c r="A148" s="149"/>
      <c r="B148" s="154" t="s">
        <v>166</v>
      </c>
      <c r="C148" s="157" t="s">
        <v>121</v>
      </c>
      <c r="D148" s="159" t="s">
        <v>122</v>
      </c>
      <c r="E148" s="161"/>
      <c r="F148" s="85">
        <v>157</v>
      </c>
      <c r="G148" s="86" t="s">
        <v>125</v>
      </c>
      <c r="H148" s="86">
        <v>60</v>
      </c>
      <c r="I148" s="86"/>
      <c r="J148" s="86"/>
      <c r="K148" s="87"/>
      <c r="L148" s="64" t="s">
        <v>43</v>
      </c>
      <c r="M148" s="65" t="s">
        <v>15</v>
      </c>
      <c r="N148" s="66"/>
      <c r="O148" s="67"/>
      <c r="P148" s="67"/>
      <c r="Q148" s="67"/>
      <c r="R148" s="113">
        <f>SUM(O148*P148*Q148*7.85/1000000)</f>
        <v>0</v>
      </c>
      <c r="S148" s="68">
        <v>0.65</v>
      </c>
      <c r="T148" s="120">
        <f t="shared" ref="T148:T152" si="94">SUM(R148*S148)</f>
        <v>0</v>
      </c>
      <c r="U148" s="67">
        <f>SUM($O$1)</f>
        <v>375</v>
      </c>
      <c r="V148" s="149"/>
    </row>
    <row r="149" spans="1:22" ht="54" customHeight="1">
      <c r="A149" s="149"/>
      <c r="B149" s="155"/>
      <c r="C149" s="157"/>
      <c r="D149" s="159"/>
      <c r="E149" s="161"/>
      <c r="F149" s="69"/>
      <c r="G149" s="63"/>
      <c r="H149" s="63"/>
      <c r="I149" s="63"/>
      <c r="J149" s="63"/>
      <c r="K149" s="70"/>
      <c r="L149" s="71"/>
      <c r="M149" s="72"/>
      <c r="N149" s="73"/>
      <c r="O149" s="67"/>
      <c r="P149" s="67"/>
      <c r="Q149" s="67"/>
      <c r="R149" s="113">
        <f t="shared" ref="R149:R152" si="95">SUM(O149*P149*Q149*7.85/1000000)</f>
        <v>0</v>
      </c>
      <c r="S149" s="68">
        <v>0.65</v>
      </c>
      <c r="T149" s="120">
        <f t="shared" si="94"/>
        <v>0</v>
      </c>
      <c r="U149" s="67">
        <f t="shared" ref="U149:U152" si="96">SUM($O$1)</f>
        <v>375</v>
      </c>
      <c r="V149" s="149"/>
    </row>
    <row r="150" spans="1:22" ht="54" customHeight="1">
      <c r="A150" s="149"/>
      <c r="B150" s="155"/>
      <c r="C150" s="157"/>
      <c r="D150" s="159"/>
      <c r="E150" s="161"/>
      <c r="F150" s="69"/>
      <c r="G150" s="63"/>
      <c r="H150" s="63"/>
      <c r="I150" s="63"/>
      <c r="J150" s="63"/>
      <c r="K150" s="70"/>
      <c r="L150" s="71"/>
      <c r="M150" s="72"/>
      <c r="N150" s="73"/>
      <c r="O150" s="67"/>
      <c r="P150" s="67"/>
      <c r="Q150" s="67"/>
      <c r="R150" s="113">
        <f t="shared" si="95"/>
        <v>0</v>
      </c>
      <c r="S150" s="68">
        <v>0.65</v>
      </c>
      <c r="T150" s="120">
        <f t="shared" si="94"/>
        <v>0</v>
      </c>
      <c r="U150" s="67">
        <f t="shared" si="96"/>
        <v>375</v>
      </c>
      <c r="V150" s="149"/>
    </row>
    <row r="151" spans="1:22" ht="54" customHeight="1">
      <c r="A151" s="149"/>
      <c r="B151" s="155"/>
      <c r="C151" s="157"/>
      <c r="D151" s="159"/>
      <c r="E151" s="161"/>
      <c r="F151" s="69"/>
      <c r="G151" s="98"/>
      <c r="H151" s="98"/>
      <c r="I151" s="98"/>
      <c r="J151" s="98"/>
      <c r="K151" s="70"/>
      <c r="L151" s="133"/>
      <c r="M151" s="134"/>
      <c r="N151" s="135"/>
      <c r="O151" s="136"/>
      <c r="P151" s="136"/>
      <c r="Q151" s="136"/>
      <c r="R151" s="113">
        <f t="shared" si="95"/>
        <v>0</v>
      </c>
      <c r="S151" s="68">
        <f t="shared" ref="S151:S152" si="97">SUM($O$2)</f>
        <v>0.65</v>
      </c>
      <c r="T151" s="120">
        <f t="shared" si="94"/>
        <v>0</v>
      </c>
      <c r="U151" s="67">
        <f t="shared" si="96"/>
        <v>375</v>
      </c>
      <c r="V151" s="149"/>
    </row>
    <row r="152" spans="1:22" ht="54" customHeight="1">
      <c r="A152" s="149"/>
      <c r="B152" s="155"/>
      <c r="C152" s="157"/>
      <c r="D152" s="159"/>
      <c r="E152" s="161"/>
      <c r="F152" s="69"/>
      <c r="G152" s="98"/>
      <c r="H152" s="98"/>
      <c r="I152" s="98"/>
      <c r="J152" s="98"/>
      <c r="K152" s="70"/>
      <c r="L152" s="133"/>
      <c r="M152" s="134"/>
      <c r="N152" s="135" t="s">
        <v>142</v>
      </c>
      <c r="O152" s="136"/>
      <c r="P152" s="136"/>
      <c r="Q152" s="136"/>
      <c r="R152" s="113">
        <f t="shared" si="95"/>
        <v>0</v>
      </c>
      <c r="S152" s="68">
        <f t="shared" si="97"/>
        <v>0.65</v>
      </c>
      <c r="T152" s="120">
        <f t="shared" si="94"/>
        <v>0</v>
      </c>
      <c r="U152" s="67">
        <f t="shared" si="96"/>
        <v>375</v>
      </c>
      <c r="V152" s="149"/>
    </row>
    <row r="153" spans="1:22" ht="54" customHeight="1" thickBot="1">
      <c r="A153" s="149"/>
      <c r="B153" s="156"/>
      <c r="C153" s="158"/>
      <c r="D153" s="160"/>
      <c r="E153" s="162"/>
      <c r="F153" s="76"/>
      <c r="G153" s="77"/>
      <c r="H153" s="77"/>
      <c r="I153" s="77"/>
      <c r="J153" s="77"/>
      <c r="K153" s="78"/>
      <c r="L153" s="79"/>
      <c r="M153" s="80"/>
      <c r="N153" s="81" t="s">
        <v>37</v>
      </c>
      <c r="O153" s="82"/>
      <c r="P153" s="82"/>
      <c r="Q153" s="82"/>
      <c r="R153" s="114"/>
      <c r="S153" s="83"/>
      <c r="T153" s="121"/>
      <c r="U153" s="84"/>
      <c r="V153" s="149"/>
    </row>
    <row r="154" spans="1:22" ht="54" customHeight="1">
      <c r="A154" s="149"/>
      <c r="B154" s="154" t="s">
        <v>167</v>
      </c>
      <c r="C154" s="157" t="s">
        <v>123</v>
      </c>
      <c r="D154" s="159" t="s">
        <v>124</v>
      </c>
      <c r="E154" s="161"/>
      <c r="F154" s="85">
        <v>25</v>
      </c>
      <c r="G154" s="88" t="s">
        <v>126</v>
      </c>
      <c r="H154" s="86">
        <v>16</v>
      </c>
      <c r="I154" s="86"/>
      <c r="J154" s="86"/>
      <c r="K154" s="87"/>
      <c r="L154" s="64" t="s">
        <v>43</v>
      </c>
      <c r="M154" s="65" t="s">
        <v>15</v>
      </c>
      <c r="N154" s="66"/>
      <c r="O154" s="67"/>
      <c r="P154" s="67"/>
      <c r="Q154" s="67"/>
      <c r="R154" s="113">
        <f>SUM(O154*P154*Q154*7.85/1000000)</f>
        <v>0</v>
      </c>
      <c r="S154" s="68">
        <v>0.65</v>
      </c>
      <c r="T154" s="120">
        <f t="shared" ref="T154:T156" si="98">SUM(R154*S154)</f>
        <v>0</v>
      </c>
      <c r="U154" s="67">
        <f>SUM($O$1)</f>
        <v>375</v>
      </c>
      <c r="V154" s="149"/>
    </row>
    <row r="155" spans="1:22" ht="54" customHeight="1">
      <c r="A155" s="149"/>
      <c r="B155" s="155"/>
      <c r="C155" s="157"/>
      <c r="D155" s="159"/>
      <c r="E155" s="161"/>
      <c r="F155" s="69"/>
      <c r="G155" s="63"/>
      <c r="H155" s="63"/>
      <c r="I155" s="63"/>
      <c r="J155" s="63"/>
      <c r="K155" s="70"/>
      <c r="L155" s="71"/>
      <c r="M155" s="72" t="s">
        <v>98</v>
      </c>
      <c r="N155" s="73"/>
      <c r="O155" s="67"/>
      <c r="P155" s="67"/>
      <c r="Q155" s="67"/>
      <c r="R155" s="113">
        <f t="shared" ref="R155:R158" si="99">SUM(O155*P155*Q155*7.85/1000000)</f>
        <v>0</v>
      </c>
      <c r="S155" s="68">
        <v>0.65</v>
      </c>
      <c r="T155" s="120">
        <f t="shared" si="98"/>
        <v>0</v>
      </c>
      <c r="U155" s="67">
        <f t="shared" ref="U155:U156" si="100">SUM($O$1)</f>
        <v>375</v>
      </c>
      <c r="V155" s="149"/>
    </row>
    <row r="156" spans="1:22" ht="54" customHeight="1">
      <c r="A156" s="149"/>
      <c r="B156" s="155"/>
      <c r="C156" s="157"/>
      <c r="D156" s="159"/>
      <c r="E156" s="161"/>
      <c r="F156" s="69"/>
      <c r="G156" s="63"/>
      <c r="H156" s="63"/>
      <c r="I156" s="63"/>
      <c r="J156" s="63"/>
      <c r="K156" s="70"/>
      <c r="L156" s="71"/>
      <c r="M156" s="65" t="s">
        <v>131</v>
      </c>
      <c r="N156" s="73"/>
      <c r="O156" s="75"/>
      <c r="P156" s="75"/>
      <c r="Q156" s="75"/>
      <c r="R156" s="113">
        <f t="shared" si="99"/>
        <v>0</v>
      </c>
      <c r="S156" s="68">
        <v>0.65</v>
      </c>
      <c r="T156" s="120">
        <f t="shared" si="98"/>
        <v>0</v>
      </c>
      <c r="U156" s="67">
        <f t="shared" si="100"/>
        <v>375</v>
      </c>
      <c r="V156" s="149"/>
    </row>
    <row r="157" spans="1:22" ht="54" customHeight="1">
      <c r="A157" s="149"/>
      <c r="B157" s="155"/>
      <c r="C157" s="157"/>
      <c r="D157" s="159"/>
      <c r="E157" s="161"/>
      <c r="F157" s="69"/>
      <c r="G157" s="63"/>
      <c r="H157" s="63"/>
      <c r="I157" s="63"/>
      <c r="J157" s="63"/>
      <c r="K157" s="70"/>
      <c r="L157" s="71"/>
      <c r="M157" s="72" t="s">
        <v>139</v>
      </c>
      <c r="N157" s="73"/>
      <c r="O157" s="75"/>
      <c r="P157" s="75"/>
      <c r="Q157" s="75"/>
      <c r="R157" s="113">
        <f t="shared" si="99"/>
        <v>0</v>
      </c>
      <c r="S157" s="74"/>
      <c r="T157" s="123"/>
      <c r="U157" s="75"/>
      <c r="V157" s="149"/>
    </row>
    <row r="158" spans="1:22" ht="54" customHeight="1">
      <c r="A158" s="149"/>
      <c r="B158" s="155"/>
      <c r="C158" s="157"/>
      <c r="D158" s="159"/>
      <c r="E158" s="161"/>
      <c r="F158" s="69"/>
      <c r="G158" s="98"/>
      <c r="H158" s="98"/>
      <c r="I158" s="98"/>
      <c r="J158" s="98"/>
      <c r="K158" s="70"/>
      <c r="L158" s="133"/>
      <c r="M158" s="134"/>
      <c r="N158" s="135" t="s">
        <v>142</v>
      </c>
      <c r="O158" s="136"/>
      <c r="P158" s="136"/>
      <c r="Q158" s="136"/>
      <c r="R158" s="113">
        <f t="shared" si="99"/>
        <v>0</v>
      </c>
      <c r="S158" s="68">
        <f t="shared" ref="S158" si="101">SUM($O$2)</f>
        <v>0.65</v>
      </c>
      <c r="T158" s="120">
        <f t="shared" ref="T158" si="102">SUM(R158*S158)</f>
        <v>0</v>
      </c>
      <c r="U158" s="67">
        <f t="shared" ref="U158" si="103">SUM($O$1)</f>
        <v>375</v>
      </c>
      <c r="V158" s="149"/>
    </row>
    <row r="159" spans="1:22" ht="54" customHeight="1" thickBot="1">
      <c r="A159" s="149"/>
      <c r="B159" s="156"/>
      <c r="C159" s="158"/>
      <c r="D159" s="160"/>
      <c r="E159" s="162"/>
      <c r="F159" s="76"/>
      <c r="G159" s="77"/>
      <c r="H159" s="77"/>
      <c r="I159" s="77"/>
      <c r="J159" s="77"/>
      <c r="K159" s="78"/>
      <c r="L159" s="79"/>
      <c r="M159" s="80"/>
      <c r="N159" s="81" t="s">
        <v>37</v>
      </c>
      <c r="O159" s="82"/>
      <c r="P159" s="82"/>
      <c r="Q159" s="82"/>
      <c r="R159" s="114"/>
      <c r="S159" s="83"/>
      <c r="T159" s="121"/>
      <c r="U159" s="84"/>
      <c r="V159" s="149"/>
    </row>
    <row r="160" spans="1:22" ht="54" customHeight="1" thickBot="1">
      <c r="A160" s="14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177" t="s">
        <v>48</v>
      </c>
      <c r="O160" s="178"/>
      <c r="P160" s="178"/>
      <c r="Q160" s="178"/>
      <c r="R160" s="178"/>
      <c r="S160" s="178"/>
      <c r="T160" s="178"/>
      <c r="U160" s="178"/>
      <c r="V160" s="149"/>
    </row>
    <row r="161" spans="1:22" ht="54" customHeight="1">
      <c r="A161" s="149"/>
      <c r="B161" s="169" t="s">
        <v>22</v>
      </c>
      <c r="C161" s="169"/>
      <c r="D161" s="169"/>
      <c r="E161" s="169"/>
      <c r="F161" s="28"/>
      <c r="G161" s="2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116"/>
      <c r="S161" s="7"/>
      <c r="T161" s="7"/>
      <c r="U161" s="7"/>
      <c r="V161" s="149"/>
    </row>
    <row r="162" spans="1:22" ht="54" customHeight="1">
      <c r="A162" s="149"/>
      <c r="B162" s="28">
        <v>1</v>
      </c>
      <c r="C162" s="169" t="s">
        <v>23</v>
      </c>
      <c r="D162" s="169"/>
      <c r="E162" s="169"/>
      <c r="F162" s="169"/>
      <c r="G162" s="169"/>
      <c r="H162" s="169"/>
      <c r="I162" s="169"/>
      <c r="J162" s="169"/>
      <c r="K162" s="169"/>
      <c r="L162" s="7"/>
      <c r="M162" s="7"/>
      <c r="N162" s="7"/>
      <c r="O162" s="7"/>
      <c r="P162" s="7"/>
      <c r="Q162" s="7"/>
      <c r="R162" s="116"/>
      <c r="S162" s="7"/>
      <c r="T162" s="7"/>
      <c r="U162" s="7"/>
      <c r="V162" s="149"/>
    </row>
    <row r="163" spans="1:22" ht="54" customHeight="1">
      <c r="A163" s="149"/>
      <c r="B163" s="28">
        <v>2</v>
      </c>
      <c r="C163" s="169" t="s">
        <v>24</v>
      </c>
      <c r="D163" s="169"/>
      <c r="E163" s="169"/>
      <c r="F163" s="169"/>
      <c r="G163" s="169"/>
      <c r="H163" s="169"/>
      <c r="I163" s="169"/>
      <c r="J163" s="169"/>
      <c r="K163" s="7"/>
      <c r="L163" s="7"/>
      <c r="M163" s="7"/>
      <c r="N163" s="7"/>
      <c r="O163" s="7"/>
      <c r="P163" s="7"/>
      <c r="Q163" s="7"/>
      <c r="R163" s="116"/>
      <c r="S163" s="7"/>
      <c r="T163" s="7"/>
      <c r="U163" s="7"/>
      <c r="V163" s="149"/>
    </row>
    <row r="164" spans="1:22" ht="54" customHeight="1">
      <c r="A164" s="149"/>
      <c r="B164" s="28">
        <v>3</v>
      </c>
      <c r="C164" s="169" t="s">
        <v>39</v>
      </c>
      <c r="D164" s="169"/>
      <c r="E164" s="169"/>
      <c r="F164" s="169"/>
      <c r="G164" s="169"/>
      <c r="H164" s="169"/>
      <c r="I164" s="169"/>
      <c r="J164" s="169"/>
      <c r="K164" s="169"/>
      <c r="L164" s="169"/>
      <c r="M164" s="7"/>
      <c r="N164" s="7"/>
      <c r="O164" s="7"/>
      <c r="P164" s="7"/>
      <c r="Q164" s="7"/>
      <c r="R164" s="116"/>
      <c r="S164" s="7"/>
      <c r="T164" s="7"/>
      <c r="U164" s="7"/>
      <c r="V164" s="149"/>
    </row>
    <row r="165" spans="1:22" ht="54" customHeight="1">
      <c r="A165" s="149"/>
      <c r="B165" s="28">
        <v>4</v>
      </c>
      <c r="C165" s="169" t="s">
        <v>40</v>
      </c>
      <c r="D165" s="169"/>
      <c r="E165" s="169"/>
      <c r="F165" s="169"/>
      <c r="G165" s="169"/>
      <c r="H165" s="169"/>
      <c r="I165" s="169"/>
      <c r="J165" s="169"/>
      <c r="K165" s="169"/>
      <c r="L165" s="169"/>
      <c r="M165" s="7"/>
      <c r="N165" s="7"/>
      <c r="O165" s="7"/>
      <c r="P165" s="7"/>
      <c r="Q165" s="7"/>
      <c r="R165" s="116"/>
      <c r="S165" s="7"/>
      <c r="T165" s="7"/>
      <c r="U165" s="7"/>
      <c r="V165" s="149"/>
    </row>
    <row r="166" spans="1:22" ht="54" customHeight="1">
      <c r="A166" s="149"/>
      <c r="B166" s="28">
        <v>5</v>
      </c>
      <c r="C166" s="169" t="s">
        <v>25</v>
      </c>
      <c r="D166" s="169"/>
      <c r="E166" s="169"/>
      <c r="F166" s="169"/>
      <c r="G166" s="169"/>
      <c r="H166" s="169"/>
      <c r="I166" s="169"/>
      <c r="J166" s="169"/>
      <c r="K166" s="169"/>
      <c r="L166" s="7"/>
      <c r="M166" s="7"/>
      <c r="N166" s="7"/>
      <c r="O166" s="7"/>
      <c r="P166" s="7"/>
      <c r="Q166" s="7"/>
      <c r="R166" s="116"/>
      <c r="S166" s="7"/>
      <c r="T166" s="7"/>
      <c r="U166" s="7"/>
      <c r="V166" s="149"/>
    </row>
    <row r="167" spans="1:22" ht="54" customHeight="1">
      <c r="A167" s="149"/>
      <c r="B167" s="28">
        <v>6</v>
      </c>
      <c r="C167" s="169" t="s">
        <v>26</v>
      </c>
      <c r="D167" s="169"/>
      <c r="E167" s="169"/>
      <c r="F167" s="169"/>
      <c r="G167" s="169"/>
      <c r="H167" s="169"/>
      <c r="I167" s="169"/>
      <c r="J167" s="169"/>
      <c r="K167" s="169"/>
      <c r="L167" s="7"/>
      <c r="M167" s="7"/>
      <c r="N167" s="7"/>
      <c r="O167" s="7"/>
      <c r="P167" s="7"/>
      <c r="Q167" s="7"/>
      <c r="R167" s="116"/>
      <c r="S167" s="7"/>
      <c r="T167" s="7"/>
      <c r="U167" s="7"/>
      <c r="V167" s="149"/>
    </row>
    <row r="168" spans="1:22" ht="54" customHeight="1">
      <c r="A168" s="149"/>
      <c r="B168" s="28">
        <v>7</v>
      </c>
      <c r="C168" s="169" t="s">
        <v>27</v>
      </c>
      <c r="D168" s="169"/>
      <c r="E168" s="169"/>
      <c r="F168" s="169"/>
      <c r="G168" s="169"/>
      <c r="H168" s="169"/>
      <c r="I168" s="169"/>
      <c r="J168" s="169"/>
      <c r="K168" s="169"/>
      <c r="L168" s="7"/>
      <c r="M168" s="7"/>
      <c r="N168" s="7"/>
      <c r="O168" s="7"/>
      <c r="P168" s="7"/>
      <c r="Q168" s="7"/>
      <c r="R168" s="116"/>
      <c r="S168" s="7"/>
      <c r="T168" s="7"/>
      <c r="U168" s="7"/>
      <c r="V168" s="149"/>
    </row>
    <row r="169" spans="1:22" ht="54" customHeight="1">
      <c r="A169" s="149"/>
      <c r="B169" s="28">
        <v>8</v>
      </c>
      <c r="C169" s="169" t="s">
        <v>42</v>
      </c>
      <c r="D169" s="169"/>
      <c r="E169" s="169"/>
      <c r="F169" s="169"/>
      <c r="G169" s="169"/>
      <c r="H169" s="169"/>
      <c r="I169" s="169"/>
      <c r="J169" s="169"/>
      <c r="K169" s="169"/>
      <c r="L169" s="169"/>
      <c r="M169" s="7"/>
      <c r="N169" s="7"/>
      <c r="O169" s="7"/>
      <c r="P169" s="7"/>
      <c r="Q169" s="7"/>
      <c r="R169" s="116"/>
      <c r="S169" s="7"/>
      <c r="T169" s="7"/>
      <c r="U169" s="7"/>
      <c r="V169" s="149"/>
    </row>
    <row r="170" spans="1:22" ht="54" customHeight="1">
      <c r="A170" s="149"/>
      <c r="B170" s="166" t="s">
        <v>45</v>
      </c>
      <c r="C170" s="166"/>
      <c r="D170" s="166"/>
      <c r="E170" s="166"/>
      <c r="F170" s="8"/>
      <c r="G170" s="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17"/>
      <c r="S170" s="9"/>
      <c r="T170" s="9"/>
      <c r="U170" s="10"/>
      <c r="V170" s="149"/>
    </row>
    <row r="171" spans="1:22" ht="54" customHeight="1">
      <c r="A171" s="149"/>
      <c r="B171" s="27"/>
      <c r="C171" s="27"/>
      <c r="D171" s="8"/>
      <c r="E171" s="8"/>
      <c r="F171" s="8"/>
      <c r="G171" s="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17"/>
      <c r="S171" s="9"/>
      <c r="T171" s="9"/>
      <c r="U171" s="10"/>
      <c r="V171" s="149"/>
    </row>
    <row r="172" spans="1:22" ht="54" customHeight="1">
      <c r="A172" s="149"/>
      <c r="B172" s="15" t="s">
        <v>30</v>
      </c>
      <c r="C172" s="14"/>
      <c r="D172" s="14"/>
      <c r="E172" s="14"/>
      <c r="F172" s="14"/>
      <c r="G172" s="14"/>
      <c r="H172" s="15"/>
      <c r="I172" s="12"/>
      <c r="J172" s="12"/>
      <c r="K172" s="12"/>
      <c r="L172" s="12"/>
      <c r="M172" s="12"/>
      <c r="N172" s="12"/>
      <c r="O172" s="12"/>
      <c r="P172" s="12"/>
      <c r="Q172" s="12"/>
      <c r="R172" s="118"/>
      <c r="S172" s="12"/>
      <c r="T172" s="12"/>
      <c r="U172" s="13"/>
      <c r="V172" s="149"/>
    </row>
    <row r="173" spans="1:22" ht="54" customHeight="1">
      <c r="A173" s="149"/>
      <c r="B173" s="14" t="s">
        <v>31</v>
      </c>
      <c r="C173" s="11"/>
      <c r="D173" s="11" t="s">
        <v>49</v>
      </c>
      <c r="E173" s="11"/>
      <c r="F173" s="11"/>
      <c r="G173" s="11"/>
      <c r="H173" s="12"/>
      <c r="I173" s="12" t="s">
        <v>28</v>
      </c>
      <c r="J173" s="12"/>
      <c r="K173" s="12"/>
      <c r="L173" s="12"/>
      <c r="M173" s="12"/>
      <c r="N173" s="12"/>
      <c r="O173" s="12"/>
      <c r="P173" s="12"/>
      <c r="Q173" s="12"/>
      <c r="R173" s="118"/>
      <c r="S173" s="12"/>
      <c r="T173" s="12"/>
      <c r="U173" s="11"/>
      <c r="V173" s="149"/>
    </row>
    <row r="174" spans="1:22" ht="54" customHeight="1">
      <c r="A174" s="149"/>
      <c r="B174" s="14" t="s">
        <v>41</v>
      </c>
      <c r="C174" s="11"/>
      <c r="D174" s="11"/>
      <c r="E174" s="11"/>
      <c r="F174" s="11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18"/>
      <c r="S174" s="12"/>
      <c r="T174" s="12"/>
      <c r="U174" s="11"/>
      <c r="V174" s="149"/>
    </row>
    <row r="175" spans="1:22" ht="54" customHeight="1" thickBot="1">
      <c r="A175" s="149"/>
      <c r="B175" s="14" t="s">
        <v>29</v>
      </c>
      <c r="C175" s="11"/>
      <c r="D175" s="11"/>
      <c r="E175" s="11"/>
      <c r="F175" s="11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18"/>
      <c r="S175" s="12"/>
      <c r="T175" s="12"/>
      <c r="U175" s="11"/>
      <c r="V175" s="149"/>
    </row>
    <row r="176" spans="1:22" ht="54" customHeight="1" thickBot="1">
      <c r="A176" s="150"/>
      <c r="B176" s="151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0"/>
    </row>
  </sheetData>
  <mergeCells count="126">
    <mergeCell ref="O136:Q136"/>
    <mergeCell ref="O137:Q137"/>
    <mergeCell ref="S8:U8"/>
    <mergeCell ref="S9:U9"/>
    <mergeCell ref="S10:U10"/>
    <mergeCell ref="S11:U11"/>
    <mergeCell ref="B28:B33"/>
    <mergeCell ref="C28:C33"/>
    <mergeCell ref="D28:D33"/>
    <mergeCell ref="E28:E33"/>
    <mergeCell ref="B70:B75"/>
    <mergeCell ref="C70:C75"/>
    <mergeCell ref="D70:D75"/>
    <mergeCell ref="E70:E75"/>
    <mergeCell ref="E52:E57"/>
    <mergeCell ref="B58:B63"/>
    <mergeCell ref="C58:C63"/>
    <mergeCell ref="D58:D63"/>
    <mergeCell ref="E58:E63"/>
    <mergeCell ref="B76:B81"/>
    <mergeCell ref="C76:C81"/>
    <mergeCell ref="D76:D81"/>
    <mergeCell ref="E76:E81"/>
    <mergeCell ref="B82:B87"/>
    <mergeCell ref="N160:U160"/>
    <mergeCell ref="A3:V3"/>
    <mergeCell ref="O14:Q14"/>
    <mergeCell ref="I14:K14"/>
    <mergeCell ref="F14:H14"/>
    <mergeCell ref="B52:B57"/>
    <mergeCell ref="C52:C57"/>
    <mergeCell ref="B4:U4"/>
    <mergeCell ref="B5:U5"/>
    <mergeCell ref="B6:U6"/>
    <mergeCell ref="B7:U7"/>
    <mergeCell ref="B12:C13"/>
    <mergeCell ref="D46:D51"/>
    <mergeCell ref="E46:E51"/>
    <mergeCell ref="B34:B39"/>
    <mergeCell ref="C34:C39"/>
    <mergeCell ref="D34:D39"/>
    <mergeCell ref="E34:E39"/>
    <mergeCell ref="B40:B45"/>
    <mergeCell ref="C40:C45"/>
    <mergeCell ref="D40:D45"/>
    <mergeCell ref="E40:E45"/>
    <mergeCell ref="D64:D69"/>
    <mergeCell ref="E64:E69"/>
    <mergeCell ref="B170:E170"/>
    <mergeCell ref="B14:B15"/>
    <mergeCell ref="C162:K162"/>
    <mergeCell ref="C163:J163"/>
    <mergeCell ref="C164:L164"/>
    <mergeCell ref="C165:L165"/>
    <mergeCell ref="C166:K166"/>
    <mergeCell ref="C167:K167"/>
    <mergeCell ref="C168:K168"/>
    <mergeCell ref="C169:L169"/>
    <mergeCell ref="B161:E161"/>
    <mergeCell ref="D52:D57"/>
    <mergeCell ref="B64:B69"/>
    <mergeCell ref="C64:C69"/>
    <mergeCell ref="B16:B21"/>
    <mergeCell ref="C16:C21"/>
    <mergeCell ref="D16:D21"/>
    <mergeCell ref="E16:E21"/>
    <mergeCell ref="B22:B27"/>
    <mergeCell ref="C22:C27"/>
    <mergeCell ref="D22:D27"/>
    <mergeCell ref="E22:E27"/>
    <mergeCell ref="B46:B51"/>
    <mergeCell ref="C46:C51"/>
    <mergeCell ref="C82:C87"/>
    <mergeCell ref="D82:D87"/>
    <mergeCell ref="E82:E87"/>
    <mergeCell ref="B100:B105"/>
    <mergeCell ref="C100:C105"/>
    <mergeCell ref="D100:D105"/>
    <mergeCell ref="E100:E105"/>
    <mergeCell ref="B106:B111"/>
    <mergeCell ref="C106:C111"/>
    <mergeCell ref="D106:D111"/>
    <mergeCell ref="E106:E111"/>
    <mergeCell ref="B88:B93"/>
    <mergeCell ref="C88:C93"/>
    <mergeCell ref="D88:D93"/>
    <mergeCell ref="E88:E93"/>
    <mergeCell ref="B94:B99"/>
    <mergeCell ref="C94:C99"/>
    <mergeCell ref="D94:D99"/>
    <mergeCell ref="E94:E99"/>
    <mergeCell ref="C130:C135"/>
    <mergeCell ref="D130:D135"/>
    <mergeCell ref="E130:E135"/>
    <mergeCell ref="B112:B117"/>
    <mergeCell ref="C112:C117"/>
    <mergeCell ref="D112:D117"/>
    <mergeCell ref="E112:E117"/>
    <mergeCell ref="B118:B123"/>
    <mergeCell ref="C118:C123"/>
    <mergeCell ref="D118:D123"/>
    <mergeCell ref="E118:E123"/>
    <mergeCell ref="A4:A176"/>
    <mergeCell ref="V4:V176"/>
    <mergeCell ref="B176:U176"/>
    <mergeCell ref="B148:B153"/>
    <mergeCell ref="C148:C153"/>
    <mergeCell ref="D148:D153"/>
    <mergeCell ref="E148:E153"/>
    <mergeCell ref="B154:B159"/>
    <mergeCell ref="C154:C159"/>
    <mergeCell ref="D154:D159"/>
    <mergeCell ref="E154:E159"/>
    <mergeCell ref="B136:B141"/>
    <mergeCell ref="C136:C141"/>
    <mergeCell ref="D136:D141"/>
    <mergeCell ref="E136:E141"/>
    <mergeCell ref="B142:B147"/>
    <mergeCell ref="C142:C147"/>
    <mergeCell ref="D142:D147"/>
    <mergeCell ref="E142:E147"/>
    <mergeCell ref="B124:B129"/>
    <mergeCell ref="C124:C129"/>
    <mergeCell ref="D124:D129"/>
    <mergeCell ref="E124:E129"/>
    <mergeCell ref="B130:B135"/>
  </mergeCells>
  <phoneticPr fontId="27" type="noConversion"/>
  <pageMargins left="0.6" right="0.6" top="0.6" bottom="0.6" header="0.3" footer="0.3"/>
  <pageSetup scale="2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4"/>
  <sheetViews>
    <sheetView zoomScale="40" zoomScaleNormal="40" zoomScaleSheetLayoutView="84" workbookViewId="0">
      <selection activeCell="V1" sqref="V1:V1048576"/>
    </sheetView>
  </sheetViews>
  <sheetFormatPr defaultColWidth="9.109375" defaultRowHeight="54" customHeight="1"/>
  <cols>
    <col min="1" max="1" width="5.6640625" style="2" customWidth="1"/>
    <col min="2" max="2" width="14" style="2" customWidth="1"/>
    <col min="3" max="3" width="40.109375" style="2" customWidth="1"/>
    <col min="4" max="4" width="32.6640625" style="2" customWidth="1"/>
    <col min="5" max="5" width="61.33203125" style="2" customWidth="1"/>
    <col min="6" max="6" width="15.5546875" style="2" customWidth="1"/>
    <col min="7" max="8" width="12" style="2" customWidth="1"/>
    <col min="9" max="11" width="11.6640625" style="2" customWidth="1"/>
    <col min="12" max="12" width="17" style="2" customWidth="1"/>
    <col min="13" max="13" width="10.33203125" style="2" customWidth="1"/>
    <col min="14" max="14" width="29.5546875" style="3" customWidth="1"/>
    <col min="15" max="17" width="13.33203125" style="4" customWidth="1"/>
    <col min="18" max="18" width="15" style="4" customWidth="1"/>
    <col min="19" max="19" width="12.44140625" style="4" customWidth="1"/>
    <col min="20" max="20" width="18.5546875" style="4" customWidth="1"/>
    <col min="21" max="21" width="13.88671875" style="4" customWidth="1"/>
    <col min="22" max="16384" width="9.109375" style="2"/>
  </cols>
  <sheetData>
    <row r="1" spans="1:22" s="21" customFormat="1" ht="45" customHeight="1">
      <c r="N1" s="22"/>
      <c r="O1" s="23">
        <v>375</v>
      </c>
      <c r="P1" s="23"/>
      <c r="Q1" s="23"/>
      <c r="R1" s="105"/>
      <c r="S1" s="23"/>
      <c r="T1" s="23"/>
      <c r="U1" s="23"/>
    </row>
    <row r="2" spans="1:22" s="21" customFormat="1" ht="45" customHeight="1" thickBot="1">
      <c r="N2" s="22"/>
      <c r="O2" s="24">
        <v>0.65</v>
      </c>
      <c r="P2" s="24"/>
      <c r="Q2" s="24"/>
      <c r="R2" s="105"/>
      <c r="S2" s="23"/>
      <c r="T2" s="23"/>
      <c r="U2" s="23"/>
    </row>
    <row r="3" spans="1:22" ht="54" customHeight="1" thickBo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3"/>
    </row>
    <row r="4" spans="1:22" ht="118.5" customHeight="1">
      <c r="A4" s="207"/>
      <c r="B4" s="182" t="s">
        <v>44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207"/>
    </row>
    <row r="5" spans="1:22" ht="54" customHeight="1">
      <c r="A5" s="149"/>
      <c r="B5" s="183" t="s">
        <v>46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49"/>
    </row>
    <row r="6" spans="1:22" ht="54" customHeight="1">
      <c r="A6" s="149"/>
      <c r="B6" s="184" t="s">
        <v>47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49"/>
    </row>
    <row r="7" spans="1:22" s="1" customFormat="1" ht="54" customHeight="1" thickBot="1">
      <c r="A7" s="149"/>
      <c r="B7" s="185" t="s">
        <v>16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49"/>
    </row>
    <row r="8" spans="1:22" s="1" customFormat="1" ht="54" customHeight="1">
      <c r="A8" s="149"/>
      <c r="B8" s="18" t="s">
        <v>17</v>
      </c>
      <c r="C8" s="37"/>
      <c r="D8" s="37"/>
      <c r="E8" s="18"/>
      <c r="F8" s="18"/>
      <c r="G8" s="18"/>
      <c r="H8" s="18"/>
      <c r="I8" s="18"/>
      <c r="J8" s="18"/>
      <c r="K8" s="18"/>
      <c r="L8" s="18"/>
      <c r="M8" s="18"/>
      <c r="N8" s="18"/>
      <c r="O8" s="6"/>
      <c r="P8" s="6"/>
      <c r="Q8" s="6"/>
      <c r="R8" s="106"/>
      <c r="S8" s="192" t="s">
        <v>18</v>
      </c>
      <c r="T8" s="193"/>
      <c r="U8" s="194"/>
      <c r="V8" s="149"/>
    </row>
    <row r="9" spans="1:22" s="1" customFormat="1" ht="54" customHeight="1">
      <c r="A9" s="149"/>
      <c r="B9" s="25" t="s">
        <v>172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107"/>
      <c r="S9" s="195" t="s">
        <v>19</v>
      </c>
      <c r="T9" s="196"/>
      <c r="U9" s="197"/>
      <c r="V9" s="149"/>
    </row>
    <row r="10" spans="1:22" s="1" customFormat="1" ht="54" customHeight="1">
      <c r="A10" s="149"/>
      <c r="B10" s="25" t="s">
        <v>173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107"/>
      <c r="S10" s="195" t="s">
        <v>21</v>
      </c>
      <c r="T10" s="196"/>
      <c r="U10" s="197"/>
      <c r="V10" s="149"/>
    </row>
    <row r="11" spans="1:22" s="1" customFormat="1" ht="54" customHeight="1" thickBot="1">
      <c r="A11" s="149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108"/>
      <c r="S11" s="198" t="s">
        <v>20</v>
      </c>
      <c r="T11" s="199"/>
      <c r="U11" s="200"/>
      <c r="V11" s="149"/>
    </row>
    <row r="12" spans="1:22" s="1" customFormat="1" ht="54" customHeight="1">
      <c r="A12" s="149"/>
      <c r="B12" s="186" t="s">
        <v>171</v>
      </c>
      <c r="C12" s="186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09"/>
      <c r="S12" s="16"/>
      <c r="T12" s="16"/>
      <c r="U12" s="16"/>
      <c r="V12" s="149"/>
    </row>
    <row r="13" spans="1:22" ht="54" customHeight="1" thickBot="1">
      <c r="A13" s="149"/>
      <c r="B13" s="187"/>
      <c r="C13" s="18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10"/>
      <c r="S13" s="17"/>
      <c r="T13" s="17"/>
      <c r="U13" s="17"/>
      <c r="V13" s="149"/>
    </row>
    <row r="14" spans="1:22" ht="54" customHeight="1">
      <c r="A14" s="149"/>
      <c r="B14" s="167" t="s">
        <v>1</v>
      </c>
      <c r="C14" s="38" t="s">
        <v>9</v>
      </c>
      <c r="D14" s="39" t="s">
        <v>2</v>
      </c>
      <c r="E14" s="39" t="s">
        <v>10</v>
      </c>
      <c r="F14" s="179" t="s">
        <v>32</v>
      </c>
      <c r="G14" s="180"/>
      <c r="H14" s="181"/>
      <c r="I14" s="179" t="s">
        <v>3</v>
      </c>
      <c r="J14" s="180"/>
      <c r="K14" s="181"/>
      <c r="L14" s="38" t="s">
        <v>8</v>
      </c>
      <c r="M14" s="38" t="s">
        <v>4</v>
      </c>
      <c r="N14" s="40" t="s">
        <v>0</v>
      </c>
      <c r="O14" s="179" t="s">
        <v>38</v>
      </c>
      <c r="P14" s="180"/>
      <c r="Q14" s="181"/>
      <c r="R14" s="111" t="s">
        <v>11</v>
      </c>
      <c r="S14" s="38" t="s">
        <v>12</v>
      </c>
      <c r="T14" s="38" t="s">
        <v>13</v>
      </c>
      <c r="U14" s="38" t="s">
        <v>14</v>
      </c>
      <c r="V14" s="149"/>
    </row>
    <row r="15" spans="1:22" ht="54" customHeight="1">
      <c r="A15" s="149"/>
      <c r="B15" s="210"/>
      <c r="C15" s="124"/>
      <c r="D15" s="125"/>
      <c r="E15" s="125"/>
      <c r="F15" s="43" t="s">
        <v>33</v>
      </c>
      <c r="G15" s="43" t="s">
        <v>34</v>
      </c>
      <c r="H15" s="43" t="s">
        <v>35</v>
      </c>
      <c r="I15" s="43" t="s">
        <v>33</v>
      </c>
      <c r="J15" s="43" t="s">
        <v>34</v>
      </c>
      <c r="K15" s="43" t="s">
        <v>36</v>
      </c>
      <c r="L15" s="124"/>
      <c r="M15" s="124"/>
      <c r="N15" s="126"/>
      <c r="O15" s="43" t="s">
        <v>5</v>
      </c>
      <c r="P15" s="43" t="s">
        <v>6</v>
      </c>
      <c r="Q15" s="43" t="s">
        <v>7</v>
      </c>
      <c r="R15" s="127"/>
      <c r="S15" s="124"/>
      <c r="T15" s="124"/>
      <c r="U15" s="124"/>
      <c r="V15" s="149"/>
    </row>
    <row r="16" spans="1:22" s="50" customFormat="1" ht="54" customHeight="1">
      <c r="A16" s="209"/>
      <c r="B16" s="204">
        <v>1</v>
      </c>
      <c r="C16" s="203" t="s">
        <v>55</v>
      </c>
      <c r="D16" s="204" t="s">
        <v>67</v>
      </c>
      <c r="E16" s="204"/>
      <c r="F16" s="96">
        <v>275</v>
      </c>
      <c r="G16" s="96">
        <v>228</v>
      </c>
      <c r="H16" s="96">
        <v>79.5</v>
      </c>
      <c r="I16" s="96">
        <v>275</v>
      </c>
      <c r="J16" s="96">
        <v>298</v>
      </c>
      <c r="K16" s="96">
        <v>5</v>
      </c>
      <c r="L16" s="96" t="s">
        <v>43</v>
      </c>
      <c r="M16" s="129" t="s">
        <v>15</v>
      </c>
      <c r="N16" s="53" t="s">
        <v>130</v>
      </c>
      <c r="O16" s="96">
        <v>800</v>
      </c>
      <c r="P16" s="96">
        <v>700</v>
      </c>
      <c r="Q16" s="96">
        <v>400</v>
      </c>
      <c r="R16" s="123">
        <f>SUM(O16*P16*Q16*7.85/1000000)</f>
        <v>1758.4</v>
      </c>
      <c r="S16" s="74">
        <f>SUM($O$2)</f>
        <v>0.65</v>
      </c>
      <c r="T16" s="123">
        <f t="shared" ref="T16:T18" si="0">SUM(R16*S16)</f>
        <v>1142.96</v>
      </c>
      <c r="U16" s="75">
        <f>SUM($O$1)</f>
        <v>375</v>
      </c>
      <c r="V16" s="208"/>
    </row>
    <row r="17" spans="1:22" s="50" customFormat="1" ht="54" customHeight="1">
      <c r="A17" s="209"/>
      <c r="B17" s="204"/>
      <c r="C17" s="203"/>
      <c r="D17" s="204"/>
      <c r="E17" s="204"/>
      <c r="F17" s="96"/>
      <c r="G17" s="96"/>
      <c r="H17" s="96"/>
      <c r="I17" s="96"/>
      <c r="J17" s="96"/>
      <c r="K17" s="96"/>
      <c r="L17" s="96"/>
      <c r="M17" s="129" t="s">
        <v>98</v>
      </c>
      <c r="N17" s="53" t="s">
        <v>138</v>
      </c>
      <c r="O17" s="96">
        <v>700</v>
      </c>
      <c r="P17" s="96">
        <v>600</v>
      </c>
      <c r="Q17" s="96">
        <v>400</v>
      </c>
      <c r="R17" s="123">
        <f t="shared" ref="R17:R18" si="1">SUM(O17*P17*Q17*7.85/1000000)</f>
        <v>1318.8</v>
      </c>
      <c r="S17" s="74">
        <f t="shared" ref="S17:S20" si="2">SUM($O$2)</f>
        <v>0.65</v>
      </c>
      <c r="T17" s="123">
        <f t="shared" si="0"/>
        <v>857.22</v>
      </c>
      <c r="U17" s="75">
        <f t="shared" ref="U17:U20" si="3">SUM($O$1)</f>
        <v>375</v>
      </c>
      <c r="V17" s="208"/>
    </row>
    <row r="18" spans="1:22" s="50" customFormat="1" ht="54" customHeight="1">
      <c r="A18" s="209"/>
      <c r="B18" s="204"/>
      <c r="C18" s="203"/>
      <c r="D18" s="204"/>
      <c r="E18" s="204"/>
      <c r="F18" s="96"/>
      <c r="G18" s="96"/>
      <c r="H18" s="96"/>
      <c r="I18" s="96"/>
      <c r="J18" s="96"/>
      <c r="K18" s="96"/>
      <c r="L18" s="96"/>
      <c r="M18" s="129" t="s">
        <v>131</v>
      </c>
      <c r="N18" s="53" t="s">
        <v>129</v>
      </c>
      <c r="O18" s="96">
        <v>650</v>
      </c>
      <c r="P18" s="96">
        <v>550</v>
      </c>
      <c r="Q18" s="96">
        <v>350</v>
      </c>
      <c r="R18" s="123">
        <f t="shared" si="1"/>
        <v>982.23125000000005</v>
      </c>
      <c r="S18" s="74">
        <f t="shared" si="2"/>
        <v>0.65</v>
      </c>
      <c r="T18" s="123">
        <f t="shared" si="0"/>
        <v>638.4503125</v>
      </c>
      <c r="U18" s="75">
        <f t="shared" si="3"/>
        <v>375</v>
      </c>
      <c r="V18" s="208"/>
    </row>
    <row r="19" spans="1:22" s="50" customFormat="1" ht="54" customHeight="1">
      <c r="A19" s="209"/>
      <c r="B19" s="204"/>
      <c r="C19" s="203"/>
      <c r="D19" s="204"/>
      <c r="E19" s="204"/>
      <c r="F19" s="96"/>
      <c r="G19" s="96"/>
      <c r="H19" s="96"/>
      <c r="I19" s="96"/>
      <c r="J19" s="96"/>
      <c r="K19" s="96"/>
      <c r="L19" s="96"/>
      <c r="M19" s="129"/>
      <c r="N19" s="53"/>
      <c r="O19" s="96"/>
      <c r="P19" s="96"/>
      <c r="Q19" s="96"/>
      <c r="R19" s="123">
        <f t="shared" ref="R19:R20" si="4">SUM(O19*P19*Q19*7.85/1000000)</f>
        <v>0</v>
      </c>
      <c r="S19" s="74">
        <f t="shared" si="2"/>
        <v>0.65</v>
      </c>
      <c r="T19" s="123">
        <f t="shared" ref="T19:T20" si="5">SUM(R19*S19)</f>
        <v>0</v>
      </c>
      <c r="U19" s="75">
        <f t="shared" si="3"/>
        <v>375</v>
      </c>
      <c r="V19" s="208"/>
    </row>
    <row r="20" spans="1:22" s="50" customFormat="1" ht="54" customHeight="1">
      <c r="A20" s="209"/>
      <c r="B20" s="204"/>
      <c r="C20" s="203"/>
      <c r="D20" s="204"/>
      <c r="E20" s="204"/>
      <c r="F20" s="128"/>
      <c r="G20" s="128"/>
      <c r="H20" s="128"/>
      <c r="I20" s="128"/>
      <c r="J20" s="128"/>
      <c r="K20" s="128"/>
      <c r="L20" s="128"/>
      <c r="M20" s="129"/>
      <c r="N20" s="53" t="s">
        <v>142</v>
      </c>
      <c r="O20" s="128"/>
      <c r="P20" s="128"/>
      <c r="Q20" s="128"/>
      <c r="R20" s="123">
        <f t="shared" si="4"/>
        <v>0</v>
      </c>
      <c r="S20" s="74">
        <f t="shared" si="2"/>
        <v>0.65</v>
      </c>
      <c r="T20" s="123">
        <f t="shared" si="5"/>
        <v>0</v>
      </c>
      <c r="U20" s="75">
        <f t="shared" si="3"/>
        <v>375</v>
      </c>
      <c r="V20" s="208"/>
    </row>
    <row r="21" spans="1:22" s="50" customFormat="1" ht="54" customHeight="1">
      <c r="A21" s="209"/>
      <c r="B21" s="204"/>
      <c r="C21" s="203"/>
      <c r="D21" s="204"/>
      <c r="E21" s="204"/>
      <c r="F21" s="96"/>
      <c r="G21" s="96"/>
      <c r="H21" s="96"/>
      <c r="I21" s="96"/>
      <c r="J21" s="96"/>
      <c r="K21" s="96"/>
      <c r="L21" s="96"/>
      <c r="M21" s="130"/>
      <c r="N21" s="131" t="s">
        <v>37</v>
      </c>
      <c r="O21" s="96"/>
      <c r="P21" s="96"/>
      <c r="Q21" s="96"/>
      <c r="R21" s="54"/>
      <c r="S21" s="55"/>
      <c r="T21" s="96"/>
      <c r="U21" s="132"/>
      <c r="V21" s="208"/>
    </row>
    <row r="22" spans="1:22" s="50" customFormat="1" ht="54" customHeight="1">
      <c r="A22" s="209"/>
      <c r="B22" s="204">
        <v>2</v>
      </c>
      <c r="C22" s="203" t="s">
        <v>57</v>
      </c>
      <c r="D22" s="204" t="s">
        <v>56</v>
      </c>
      <c r="E22" s="204"/>
      <c r="F22" s="96"/>
      <c r="G22" s="96"/>
      <c r="H22" s="96"/>
      <c r="I22" s="96"/>
      <c r="J22" s="96"/>
      <c r="K22" s="96">
        <v>5</v>
      </c>
      <c r="L22" s="96" t="s">
        <v>43</v>
      </c>
      <c r="M22" s="129" t="s">
        <v>15</v>
      </c>
      <c r="N22" s="53" t="s">
        <v>130</v>
      </c>
      <c r="O22" s="96"/>
      <c r="P22" s="96"/>
      <c r="Q22" s="96"/>
      <c r="R22" s="123">
        <f>SUM(O22*P22*Q22*7.85/1000000)</f>
        <v>0</v>
      </c>
      <c r="S22" s="74">
        <f>SUM($O$2)</f>
        <v>0.65</v>
      </c>
      <c r="T22" s="123">
        <f t="shared" ref="T22:T24" si="6">SUM(R22*S22)</f>
        <v>0</v>
      </c>
      <c r="U22" s="75">
        <f>SUM($O$1)</f>
        <v>375</v>
      </c>
      <c r="V22" s="208"/>
    </row>
    <row r="23" spans="1:22" s="50" customFormat="1" ht="54" customHeight="1">
      <c r="A23" s="209"/>
      <c r="B23" s="204"/>
      <c r="C23" s="203"/>
      <c r="D23" s="204"/>
      <c r="E23" s="204"/>
      <c r="F23" s="96"/>
      <c r="G23" s="96"/>
      <c r="H23" s="96"/>
      <c r="I23" s="96"/>
      <c r="J23" s="96"/>
      <c r="K23" s="96"/>
      <c r="L23" s="96"/>
      <c r="M23" s="129" t="s">
        <v>98</v>
      </c>
      <c r="N23" s="53" t="s">
        <v>170</v>
      </c>
      <c r="O23" s="96"/>
      <c r="P23" s="96"/>
      <c r="Q23" s="96"/>
      <c r="R23" s="123">
        <f t="shared" ref="R23:R24" si="7">SUM(O23*P23*Q23*7.85/1000000)</f>
        <v>0</v>
      </c>
      <c r="S23" s="74">
        <f t="shared" ref="S23:S26" si="8">SUM($O$2)</f>
        <v>0.65</v>
      </c>
      <c r="T23" s="123">
        <f t="shared" si="6"/>
        <v>0</v>
      </c>
      <c r="U23" s="75">
        <f t="shared" ref="U23:U26" si="9">SUM($O$1)</f>
        <v>375</v>
      </c>
      <c r="V23" s="208"/>
    </row>
    <row r="24" spans="1:22" s="50" customFormat="1" ht="54" customHeight="1">
      <c r="A24" s="209"/>
      <c r="B24" s="204"/>
      <c r="C24" s="203"/>
      <c r="D24" s="204"/>
      <c r="E24" s="204"/>
      <c r="F24" s="96"/>
      <c r="G24" s="96"/>
      <c r="H24" s="96"/>
      <c r="I24" s="96"/>
      <c r="J24" s="96"/>
      <c r="K24" s="96"/>
      <c r="L24" s="96"/>
      <c r="M24" s="129"/>
      <c r="N24" s="53"/>
      <c r="O24" s="96"/>
      <c r="P24" s="96"/>
      <c r="Q24" s="96"/>
      <c r="R24" s="123">
        <f t="shared" si="7"/>
        <v>0</v>
      </c>
      <c r="S24" s="74">
        <f t="shared" si="8"/>
        <v>0.65</v>
      </c>
      <c r="T24" s="123">
        <f t="shared" si="6"/>
        <v>0</v>
      </c>
      <c r="U24" s="75">
        <f t="shared" si="9"/>
        <v>375</v>
      </c>
      <c r="V24" s="208"/>
    </row>
    <row r="25" spans="1:22" s="50" customFormat="1" ht="54" customHeight="1">
      <c r="A25" s="209"/>
      <c r="B25" s="204"/>
      <c r="C25" s="203"/>
      <c r="D25" s="204"/>
      <c r="E25" s="204"/>
      <c r="F25" s="96"/>
      <c r="G25" s="96"/>
      <c r="H25" s="96"/>
      <c r="I25" s="96"/>
      <c r="J25" s="96"/>
      <c r="K25" s="96"/>
      <c r="L25" s="96"/>
      <c r="M25" s="129"/>
      <c r="N25" s="53"/>
      <c r="O25" s="96"/>
      <c r="P25" s="96"/>
      <c r="Q25" s="96"/>
      <c r="R25" s="123">
        <f t="shared" ref="R25:R26" si="10">SUM(O25*P25*Q25*7.85/1000000)</f>
        <v>0</v>
      </c>
      <c r="S25" s="74">
        <f t="shared" si="8"/>
        <v>0.65</v>
      </c>
      <c r="T25" s="123">
        <f t="shared" ref="T25:T26" si="11">SUM(R25*S25)</f>
        <v>0</v>
      </c>
      <c r="U25" s="75">
        <f t="shared" si="9"/>
        <v>375</v>
      </c>
      <c r="V25" s="208"/>
    </row>
    <row r="26" spans="1:22" s="50" customFormat="1" ht="54" customHeight="1">
      <c r="A26" s="209"/>
      <c r="B26" s="204"/>
      <c r="C26" s="203"/>
      <c r="D26" s="204"/>
      <c r="E26" s="204"/>
      <c r="F26" s="128"/>
      <c r="G26" s="128"/>
      <c r="H26" s="128"/>
      <c r="I26" s="128"/>
      <c r="J26" s="128"/>
      <c r="K26" s="128"/>
      <c r="L26" s="128"/>
      <c r="M26" s="129"/>
      <c r="N26" s="53"/>
      <c r="O26" s="128"/>
      <c r="P26" s="128"/>
      <c r="Q26" s="128"/>
      <c r="R26" s="123">
        <f t="shared" si="10"/>
        <v>0</v>
      </c>
      <c r="S26" s="74">
        <f t="shared" si="8"/>
        <v>0.65</v>
      </c>
      <c r="T26" s="123">
        <f t="shared" si="11"/>
        <v>0</v>
      </c>
      <c r="U26" s="75">
        <f t="shared" si="9"/>
        <v>375</v>
      </c>
      <c r="V26" s="208"/>
    </row>
    <row r="27" spans="1:22" s="50" customFormat="1" ht="54" customHeight="1">
      <c r="A27" s="209"/>
      <c r="B27" s="204"/>
      <c r="C27" s="203"/>
      <c r="D27" s="204"/>
      <c r="E27" s="204"/>
      <c r="F27" s="96"/>
      <c r="G27" s="96"/>
      <c r="H27" s="96"/>
      <c r="I27" s="96"/>
      <c r="J27" s="96"/>
      <c r="K27" s="96"/>
      <c r="L27" s="96"/>
      <c r="M27" s="130"/>
      <c r="N27" s="131" t="s">
        <v>37</v>
      </c>
      <c r="O27" s="96"/>
      <c r="P27" s="96"/>
      <c r="Q27" s="96"/>
      <c r="R27" s="54"/>
      <c r="S27" s="55"/>
      <c r="T27" s="96"/>
      <c r="U27" s="132"/>
      <c r="V27" s="208"/>
    </row>
    <row r="28" spans="1:22" ht="54" customHeight="1" thickBot="1">
      <c r="A28" s="14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05" t="s">
        <v>48</v>
      </c>
      <c r="O28" s="206"/>
      <c r="P28" s="206"/>
      <c r="Q28" s="206"/>
      <c r="R28" s="206"/>
      <c r="S28" s="206"/>
      <c r="T28" s="206"/>
      <c r="U28" s="206"/>
      <c r="V28" s="208"/>
    </row>
    <row r="29" spans="1:22" ht="54" customHeight="1">
      <c r="A29" s="149"/>
      <c r="B29" s="169" t="s">
        <v>22</v>
      </c>
      <c r="C29" s="169"/>
      <c r="D29" s="169"/>
      <c r="E29" s="169"/>
      <c r="F29" s="28"/>
      <c r="G29" s="2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149"/>
    </row>
    <row r="30" spans="1:22" ht="54" customHeight="1">
      <c r="A30" s="149"/>
      <c r="B30" s="28">
        <v>1</v>
      </c>
      <c r="C30" s="169" t="s">
        <v>23</v>
      </c>
      <c r="D30" s="169"/>
      <c r="E30" s="169"/>
      <c r="F30" s="169"/>
      <c r="G30" s="169"/>
      <c r="H30" s="169"/>
      <c r="I30" s="169"/>
      <c r="J30" s="169"/>
      <c r="K30" s="169"/>
      <c r="L30" s="7"/>
      <c r="M30" s="7"/>
      <c r="N30" s="7"/>
      <c r="O30" s="7"/>
      <c r="P30" s="7"/>
      <c r="Q30" s="7"/>
      <c r="R30" s="7"/>
      <c r="S30" s="7"/>
      <c r="T30" s="7"/>
      <c r="U30" s="7"/>
      <c r="V30" s="149"/>
    </row>
    <row r="31" spans="1:22" ht="54" customHeight="1">
      <c r="A31" s="149"/>
      <c r="B31" s="28">
        <v>2</v>
      </c>
      <c r="C31" s="169" t="s">
        <v>24</v>
      </c>
      <c r="D31" s="169"/>
      <c r="E31" s="169"/>
      <c r="F31" s="169"/>
      <c r="G31" s="169"/>
      <c r="H31" s="169"/>
      <c r="I31" s="169"/>
      <c r="J31" s="16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149"/>
    </row>
    <row r="32" spans="1:22" ht="54" customHeight="1">
      <c r="A32" s="149"/>
      <c r="B32" s="28">
        <v>3</v>
      </c>
      <c r="C32" s="169" t="s">
        <v>39</v>
      </c>
      <c r="D32" s="169"/>
      <c r="E32" s="169"/>
      <c r="F32" s="169"/>
      <c r="G32" s="169"/>
      <c r="H32" s="169"/>
      <c r="I32" s="169"/>
      <c r="J32" s="169"/>
      <c r="K32" s="169"/>
      <c r="L32" s="169"/>
      <c r="M32" s="7"/>
      <c r="N32" s="7"/>
      <c r="O32" s="7"/>
      <c r="P32" s="7"/>
      <c r="Q32" s="7"/>
      <c r="R32" s="7"/>
      <c r="S32" s="7"/>
      <c r="T32" s="7"/>
      <c r="U32" s="7"/>
      <c r="V32" s="149"/>
    </row>
    <row r="33" spans="1:22" ht="54" customHeight="1">
      <c r="A33" s="149"/>
      <c r="B33" s="28">
        <v>4</v>
      </c>
      <c r="C33" s="169" t="s">
        <v>40</v>
      </c>
      <c r="D33" s="169"/>
      <c r="E33" s="169"/>
      <c r="F33" s="169"/>
      <c r="G33" s="169"/>
      <c r="H33" s="169"/>
      <c r="I33" s="169"/>
      <c r="J33" s="169"/>
      <c r="K33" s="169"/>
      <c r="L33" s="169"/>
      <c r="M33" s="7"/>
      <c r="N33" s="7"/>
      <c r="O33" s="7"/>
      <c r="P33" s="7"/>
      <c r="Q33" s="7"/>
      <c r="R33" s="7"/>
      <c r="S33" s="7"/>
      <c r="T33" s="7"/>
      <c r="U33" s="7"/>
      <c r="V33" s="149"/>
    </row>
    <row r="34" spans="1:22" ht="54" customHeight="1">
      <c r="A34" s="149"/>
      <c r="B34" s="28">
        <v>5</v>
      </c>
      <c r="C34" s="169" t="s">
        <v>25</v>
      </c>
      <c r="D34" s="169"/>
      <c r="E34" s="169"/>
      <c r="F34" s="169"/>
      <c r="G34" s="169"/>
      <c r="H34" s="169"/>
      <c r="I34" s="169"/>
      <c r="J34" s="169"/>
      <c r="K34" s="169"/>
      <c r="L34" s="7"/>
      <c r="M34" s="7"/>
      <c r="N34" s="7"/>
      <c r="O34" s="7"/>
      <c r="P34" s="7"/>
      <c r="Q34" s="7"/>
      <c r="R34" s="7"/>
      <c r="S34" s="7"/>
      <c r="T34" s="7"/>
      <c r="U34" s="7"/>
      <c r="V34" s="149"/>
    </row>
    <row r="35" spans="1:22" ht="54" customHeight="1">
      <c r="A35" s="149"/>
      <c r="B35" s="28">
        <v>6</v>
      </c>
      <c r="C35" s="169" t="s">
        <v>26</v>
      </c>
      <c r="D35" s="169"/>
      <c r="E35" s="169"/>
      <c r="F35" s="169"/>
      <c r="G35" s="169"/>
      <c r="H35" s="169"/>
      <c r="I35" s="169"/>
      <c r="J35" s="169"/>
      <c r="K35" s="169"/>
      <c r="L35" s="7"/>
      <c r="M35" s="7"/>
      <c r="N35" s="7"/>
      <c r="O35" s="7"/>
      <c r="P35" s="7"/>
      <c r="Q35" s="7"/>
      <c r="R35" s="7"/>
      <c r="S35" s="7"/>
      <c r="T35" s="7"/>
      <c r="U35" s="7"/>
      <c r="V35" s="149"/>
    </row>
    <row r="36" spans="1:22" ht="54" customHeight="1">
      <c r="A36" s="149"/>
      <c r="B36" s="28">
        <v>7</v>
      </c>
      <c r="C36" s="169" t="s">
        <v>27</v>
      </c>
      <c r="D36" s="169"/>
      <c r="E36" s="169"/>
      <c r="F36" s="169"/>
      <c r="G36" s="169"/>
      <c r="H36" s="169"/>
      <c r="I36" s="169"/>
      <c r="J36" s="169"/>
      <c r="K36" s="169"/>
      <c r="L36" s="7"/>
      <c r="M36" s="7"/>
      <c r="N36" s="7"/>
      <c r="O36" s="7"/>
      <c r="P36" s="7"/>
      <c r="Q36" s="7"/>
      <c r="R36" s="7"/>
      <c r="S36" s="7"/>
      <c r="T36" s="7"/>
      <c r="U36" s="7"/>
      <c r="V36" s="149"/>
    </row>
    <row r="37" spans="1:22" ht="54" customHeight="1">
      <c r="A37" s="149"/>
      <c r="B37" s="28">
        <v>8</v>
      </c>
      <c r="C37" s="169" t="s">
        <v>42</v>
      </c>
      <c r="D37" s="169"/>
      <c r="E37" s="169"/>
      <c r="F37" s="169"/>
      <c r="G37" s="169"/>
      <c r="H37" s="169"/>
      <c r="I37" s="169"/>
      <c r="J37" s="169"/>
      <c r="K37" s="169"/>
      <c r="L37" s="169"/>
      <c r="M37" s="7"/>
      <c r="N37" s="7"/>
      <c r="O37" s="7"/>
      <c r="P37" s="7"/>
      <c r="Q37" s="7"/>
      <c r="R37" s="7"/>
      <c r="S37" s="7"/>
      <c r="T37" s="7"/>
      <c r="U37" s="7"/>
      <c r="V37" s="149"/>
    </row>
    <row r="38" spans="1:22" ht="54" customHeight="1">
      <c r="A38" s="149"/>
      <c r="B38" s="166" t="s">
        <v>45</v>
      </c>
      <c r="C38" s="166"/>
      <c r="D38" s="166"/>
      <c r="E38" s="166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149"/>
    </row>
    <row r="39" spans="1:22" ht="54" customHeight="1">
      <c r="A39" s="149"/>
      <c r="B39" s="27"/>
      <c r="C39" s="27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149"/>
    </row>
    <row r="40" spans="1:22" ht="54" customHeight="1">
      <c r="A40" s="149"/>
      <c r="B40" s="15" t="s">
        <v>30</v>
      </c>
      <c r="C40" s="14"/>
      <c r="D40" s="14"/>
      <c r="E40" s="14"/>
      <c r="F40" s="14"/>
      <c r="G40" s="14"/>
      <c r="H40" s="1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149"/>
    </row>
    <row r="41" spans="1:22" ht="54" customHeight="1">
      <c r="A41" s="149"/>
      <c r="B41" s="14" t="s">
        <v>31</v>
      </c>
      <c r="C41" s="11"/>
      <c r="D41" s="11" t="s">
        <v>49</v>
      </c>
      <c r="E41" s="11"/>
      <c r="F41" s="11"/>
      <c r="G41" s="11"/>
      <c r="H41" s="12"/>
      <c r="I41" s="12" t="s">
        <v>28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1"/>
      <c r="V41" s="149"/>
    </row>
    <row r="42" spans="1:22" ht="54" customHeight="1">
      <c r="A42" s="149"/>
      <c r="B42" s="14" t="s">
        <v>41</v>
      </c>
      <c r="C42" s="11"/>
      <c r="D42" s="11"/>
      <c r="E42" s="11"/>
      <c r="F42" s="11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1"/>
      <c r="V42" s="149"/>
    </row>
    <row r="43" spans="1:22" ht="54" customHeight="1" thickBot="1">
      <c r="A43" s="149"/>
      <c r="B43" s="14" t="s">
        <v>29</v>
      </c>
      <c r="C43" s="11"/>
      <c r="D43" s="11"/>
      <c r="E43" s="11"/>
      <c r="F43" s="11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1"/>
      <c r="V43" s="149"/>
    </row>
    <row r="44" spans="1:22" ht="54" customHeight="1" thickBot="1">
      <c r="A44" s="150"/>
      <c r="B44" s="151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0"/>
    </row>
  </sheetData>
  <mergeCells count="36">
    <mergeCell ref="B12:C13"/>
    <mergeCell ref="B14:B15"/>
    <mergeCell ref="F14:H14"/>
    <mergeCell ref="I14:K14"/>
    <mergeCell ref="O14:Q14"/>
    <mergeCell ref="A3:V3"/>
    <mergeCell ref="B4:U4"/>
    <mergeCell ref="B5:U5"/>
    <mergeCell ref="B6:U6"/>
    <mergeCell ref="B7:U7"/>
    <mergeCell ref="V4:V44"/>
    <mergeCell ref="A4:A44"/>
    <mergeCell ref="B44:U44"/>
    <mergeCell ref="S8:U8"/>
    <mergeCell ref="S9:U9"/>
    <mergeCell ref="S10:U10"/>
    <mergeCell ref="S11:U11"/>
    <mergeCell ref="C34:K34"/>
    <mergeCell ref="C35:K35"/>
    <mergeCell ref="C36:K36"/>
    <mergeCell ref="C37:L37"/>
    <mergeCell ref="C16:C21"/>
    <mergeCell ref="D16:D21"/>
    <mergeCell ref="E16:E21"/>
    <mergeCell ref="B38:E38"/>
    <mergeCell ref="N28:U28"/>
    <mergeCell ref="B29:E29"/>
    <mergeCell ref="C30:K30"/>
    <mergeCell ref="C31:J31"/>
    <mergeCell ref="C32:L32"/>
    <mergeCell ref="C33:L33"/>
    <mergeCell ref="B22:B27"/>
    <mergeCell ref="C22:C27"/>
    <mergeCell ref="D22:D27"/>
    <mergeCell ref="E22:E27"/>
    <mergeCell ref="B16:B21"/>
  </mergeCells>
  <pageMargins left="0.6" right="0.6" top="0.6" bottom="0.6" header="0.3" footer="0.3"/>
  <pageSetup scale="2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8"/>
  <sheetViews>
    <sheetView topLeftCell="A24" zoomScale="40" zoomScaleNormal="40" zoomScaleSheetLayoutView="84" workbookViewId="0">
      <selection activeCell="V3" sqref="V1:V1048576"/>
    </sheetView>
  </sheetViews>
  <sheetFormatPr defaultColWidth="9.109375" defaultRowHeight="54" customHeight="1"/>
  <cols>
    <col min="1" max="1" width="5.6640625" style="2" customWidth="1"/>
    <col min="2" max="2" width="14" style="2" customWidth="1"/>
    <col min="3" max="3" width="40.109375" style="2" customWidth="1"/>
    <col min="4" max="4" width="32.6640625" style="2" customWidth="1"/>
    <col min="5" max="5" width="61.33203125" style="2" customWidth="1"/>
    <col min="6" max="6" width="15.5546875" style="2" customWidth="1"/>
    <col min="7" max="8" width="12" style="2" customWidth="1"/>
    <col min="9" max="11" width="11.6640625" style="2" customWidth="1"/>
    <col min="12" max="12" width="17" style="2" customWidth="1"/>
    <col min="13" max="13" width="10.33203125" style="2" customWidth="1"/>
    <col min="14" max="14" width="29.5546875" style="3" customWidth="1"/>
    <col min="15" max="17" width="13.33203125" style="4" customWidth="1"/>
    <col min="18" max="18" width="15" style="4" customWidth="1"/>
    <col min="19" max="19" width="12.44140625" style="4" customWidth="1"/>
    <col min="20" max="20" width="22.5546875" style="4" customWidth="1"/>
    <col min="21" max="21" width="18.5546875" style="4" customWidth="1"/>
    <col min="22" max="16384" width="9.109375" style="2"/>
  </cols>
  <sheetData>
    <row r="1" spans="1:22" s="21" customFormat="1" ht="45" customHeight="1">
      <c r="N1" s="22"/>
      <c r="O1" s="23">
        <v>375</v>
      </c>
      <c r="P1" s="23"/>
      <c r="Q1" s="23"/>
      <c r="R1" s="23"/>
      <c r="S1" s="23"/>
      <c r="T1" s="23"/>
      <c r="U1" s="23"/>
    </row>
    <row r="2" spans="1:22" s="21" customFormat="1" ht="45" customHeight="1" thickBot="1">
      <c r="N2" s="22"/>
      <c r="O2" s="24">
        <v>0.65</v>
      </c>
      <c r="P2" s="24"/>
      <c r="Q2" s="24"/>
      <c r="R2" s="24"/>
      <c r="S2" s="23"/>
      <c r="T2" s="23"/>
      <c r="U2" s="23"/>
    </row>
    <row r="3" spans="1:22" ht="54" customHeight="1" thickBot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  <c r="V3" s="144"/>
    </row>
    <row r="4" spans="1:22" ht="118.5" customHeight="1">
      <c r="A4" s="149"/>
      <c r="B4" s="182" t="s">
        <v>44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207"/>
    </row>
    <row r="5" spans="1:22" ht="54" customHeight="1">
      <c r="A5" s="149"/>
      <c r="B5" s="183" t="s">
        <v>46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49"/>
    </row>
    <row r="6" spans="1:22" ht="54" customHeight="1">
      <c r="A6" s="149"/>
      <c r="B6" s="184" t="s">
        <v>47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49"/>
    </row>
    <row r="7" spans="1:22" s="1" customFormat="1" ht="54" customHeight="1" thickBot="1">
      <c r="A7" s="149"/>
      <c r="B7" s="185" t="s">
        <v>16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49"/>
    </row>
    <row r="8" spans="1:22" s="1" customFormat="1" ht="54" customHeight="1">
      <c r="A8" s="149"/>
      <c r="B8" s="18" t="s">
        <v>17</v>
      </c>
      <c r="C8" s="37"/>
      <c r="D8" s="37"/>
      <c r="E8" s="18"/>
      <c r="F8" s="18"/>
      <c r="G8" s="18"/>
      <c r="H8" s="18"/>
      <c r="I8" s="18"/>
      <c r="J8" s="18"/>
      <c r="K8" s="18"/>
      <c r="L8" s="18"/>
      <c r="M8" s="18"/>
      <c r="N8" s="18"/>
      <c r="O8" s="6"/>
      <c r="P8" s="6"/>
      <c r="Q8" s="6"/>
      <c r="R8" s="6"/>
      <c r="S8" s="192" t="s">
        <v>18</v>
      </c>
      <c r="T8" s="193"/>
      <c r="U8" s="194"/>
      <c r="V8" s="149"/>
    </row>
    <row r="9" spans="1:22" s="1" customFormat="1" ht="54" customHeight="1">
      <c r="A9" s="149"/>
      <c r="B9" s="25" t="s">
        <v>172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195" t="s">
        <v>19</v>
      </c>
      <c r="T9" s="196"/>
      <c r="U9" s="197"/>
      <c r="V9" s="149"/>
    </row>
    <row r="10" spans="1:22" s="1" customFormat="1" ht="54" customHeight="1">
      <c r="A10" s="149"/>
      <c r="B10" s="25" t="s">
        <v>173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195" t="s">
        <v>21</v>
      </c>
      <c r="T10" s="196"/>
      <c r="U10" s="197"/>
      <c r="V10" s="149"/>
    </row>
    <row r="11" spans="1:22" s="1" customFormat="1" ht="54" customHeight="1" thickBot="1">
      <c r="A11" s="149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198" t="s">
        <v>20</v>
      </c>
      <c r="T11" s="199"/>
      <c r="U11" s="200"/>
      <c r="V11" s="149"/>
    </row>
    <row r="12" spans="1:22" s="1" customFormat="1" ht="54" customHeight="1">
      <c r="A12" s="149"/>
      <c r="B12" s="186" t="s">
        <v>171</v>
      </c>
      <c r="C12" s="186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6"/>
      <c r="T12" s="16"/>
      <c r="U12" s="16"/>
      <c r="V12" s="149"/>
    </row>
    <row r="13" spans="1:22" ht="54" customHeight="1" thickBot="1">
      <c r="A13" s="149"/>
      <c r="B13" s="187"/>
      <c r="C13" s="18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17"/>
      <c r="T13" s="17"/>
      <c r="U13" s="17"/>
      <c r="V13" s="149"/>
    </row>
    <row r="14" spans="1:22" ht="54" customHeight="1">
      <c r="A14" s="149"/>
      <c r="B14" s="167" t="s">
        <v>1</v>
      </c>
      <c r="C14" s="38" t="s">
        <v>9</v>
      </c>
      <c r="D14" s="39" t="s">
        <v>2</v>
      </c>
      <c r="E14" s="39" t="s">
        <v>10</v>
      </c>
      <c r="F14" s="179" t="s">
        <v>32</v>
      </c>
      <c r="G14" s="180"/>
      <c r="H14" s="181"/>
      <c r="I14" s="179" t="s">
        <v>3</v>
      </c>
      <c r="J14" s="180"/>
      <c r="K14" s="181"/>
      <c r="L14" s="38" t="s">
        <v>8</v>
      </c>
      <c r="M14" s="38" t="s">
        <v>4</v>
      </c>
      <c r="N14" s="40" t="s">
        <v>0</v>
      </c>
      <c r="O14" s="179" t="s">
        <v>38</v>
      </c>
      <c r="P14" s="180"/>
      <c r="Q14" s="181"/>
      <c r="R14" s="38" t="s">
        <v>11</v>
      </c>
      <c r="S14" s="38" t="s">
        <v>12</v>
      </c>
      <c r="T14" s="38" t="s">
        <v>13</v>
      </c>
      <c r="U14" s="38" t="s">
        <v>14</v>
      </c>
      <c r="V14" s="149"/>
    </row>
    <row r="15" spans="1:22" ht="54" customHeight="1" thickBot="1">
      <c r="A15" s="149"/>
      <c r="B15" s="168"/>
      <c r="C15" s="41"/>
      <c r="D15" s="42"/>
      <c r="E15" s="42"/>
      <c r="F15" s="43" t="s">
        <v>33</v>
      </c>
      <c r="G15" s="43" t="s">
        <v>34</v>
      </c>
      <c r="H15" s="43" t="s">
        <v>35</v>
      </c>
      <c r="I15" s="43" t="s">
        <v>33</v>
      </c>
      <c r="J15" s="43" t="s">
        <v>34</v>
      </c>
      <c r="K15" s="43" t="s">
        <v>36</v>
      </c>
      <c r="L15" s="41"/>
      <c r="M15" s="41"/>
      <c r="N15" s="44"/>
      <c r="O15" s="45" t="s">
        <v>5</v>
      </c>
      <c r="P15" s="45" t="s">
        <v>6</v>
      </c>
      <c r="Q15" s="45" t="s">
        <v>7</v>
      </c>
      <c r="R15" s="41"/>
      <c r="S15" s="41"/>
      <c r="T15" s="41"/>
      <c r="U15" s="41"/>
      <c r="V15" s="149"/>
    </row>
    <row r="16" spans="1:22" s="50" customFormat="1" ht="54" customHeight="1">
      <c r="A16" s="149"/>
      <c r="B16" s="154">
        <v>1</v>
      </c>
      <c r="C16" s="176" t="s">
        <v>59</v>
      </c>
      <c r="D16" s="170" t="s">
        <v>58</v>
      </c>
      <c r="E16" s="214"/>
      <c r="F16" s="89">
        <v>190</v>
      </c>
      <c r="G16" s="89">
        <v>30</v>
      </c>
      <c r="H16" s="89">
        <v>30</v>
      </c>
      <c r="I16" s="89">
        <v>190</v>
      </c>
      <c r="J16" s="89">
        <v>80</v>
      </c>
      <c r="K16" s="89">
        <v>3</v>
      </c>
      <c r="L16" s="46" t="s">
        <v>43</v>
      </c>
      <c r="M16" s="47" t="s">
        <v>15</v>
      </c>
      <c r="N16" s="48" t="s">
        <v>128</v>
      </c>
      <c r="O16" s="49">
        <v>600</v>
      </c>
      <c r="P16" s="49">
        <v>450</v>
      </c>
      <c r="Q16" s="49">
        <v>350</v>
      </c>
      <c r="R16" s="113">
        <f>SUM(O16*P16*Q16*7.85/1000000)</f>
        <v>741.82500000000005</v>
      </c>
      <c r="S16" s="68">
        <f>SUM($O$2)</f>
        <v>0.65</v>
      </c>
      <c r="T16" s="120">
        <f t="shared" ref="T16" si="0">SUM(R16*S16)</f>
        <v>482.18625000000003</v>
      </c>
      <c r="U16" s="67">
        <f>SUM($O$1)</f>
        <v>375</v>
      </c>
      <c r="V16" s="149"/>
    </row>
    <row r="17" spans="1:22" s="50" customFormat="1" ht="54" customHeight="1">
      <c r="A17" s="149"/>
      <c r="B17" s="155"/>
      <c r="C17" s="157"/>
      <c r="D17" s="171"/>
      <c r="E17" s="215"/>
      <c r="F17" s="128"/>
      <c r="G17" s="128"/>
      <c r="H17" s="128"/>
      <c r="I17" s="128"/>
      <c r="J17" s="128"/>
      <c r="K17" s="128"/>
      <c r="L17" s="51"/>
      <c r="M17" s="52" t="s">
        <v>98</v>
      </c>
      <c r="N17" s="53" t="s">
        <v>129</v>
      </c>
      <c r="O17" s="49">
        <v>500</v>
      </c>
      <c r="P17" s="49">
        <v>400</v>
      </c>
      <c r="Q17" s="49">
        <v>350</v>
      </c>
      <c r="R17" s="113">
        <f t="shared" ref="R17:R20" si="1">SUM(O17*P17*Q17*7.85/1000000)</f>
        <v>549.5</v>
      </c>
      <c r="S17" s="68">
        <f t="shared" ref="S17:S20" si="2">SUM($O$2)</f>
        <v>0.65</v>
      </c>
      <c r="T17" s="120">
        <f t="shared" ref="T17:T20" si="3">SUM(R17*S17)</f>
        <v>357.17500000000001</v>
      </c>
      <c r="U17" s="67">
        <f t="shared" ref="U17:U20" si="4">SUM($O$1)</f>
        <v>375</v>
      </c>
      <c r="V17" s="149"/>
    </row>
    <row r="18" spans="1:22" s="50" customFormat="1" ht="54" customHeight="1">
      <c r="A18" s="149"/>
      <c r="B18" s="155"/>
      <c r="C18" s="157"/>
      <c r="D18" s="171"/>
      <c r="E18" s="215"/>
      <c r="F18" s="128"/>
      <c r="G18" s="128"/>
      <c r="H18" s="128"/>
      <c r="I18" s="128"/>
      <c r="J18" s="128"/>
      <c r="K18" s="128"/>
      <c r="L18" s="51"/>
      <c r="M18" s="52"/>
      <c r="N18" s="53"/>
      <c r="O18" s="49"/>
      <c r="P18" s="49"/>
      <c r="Q18" s="49"/>
      <c r="R18" s="113">
        <f t="shared" si="1"/>
        <v>0</v>
      </c>
      <c r="S18" s="68">
        <f t="shared" si="2"/>
        <v>0.65</v>
      </c>
      <c r="T18" s="120">
        <f t="shared" si="3"/>
        <v>0</v>
      </c>
      <c r="U18" s="67">
        <f t="shared" si="4"/>
        <v>375</v>
      </c>
      <c r="V18" s="149"/>
    </row>
    <row r="19" spans="1:22" s="50" customFormat="1" ht="54" customHeight="1">
      <c r="A19" s="149"/>
      <c r="B19" s="155"/>
      <c r="C19" s="157"/>
      <c r="D19" s="171"/>
      <c r="E19" s="215"/>
      <c r="F19" s="128"/>
      <c r="G19" s="128"/>
      <c r="H19" s="128"/>
      <c r="I19" s="128"/>
      <c r="J19" s="128"/>
      <c r="K19" s="128"/>
      <c r="L19" s="51"/>
      <c r="M19" s="52"/>
      <c r="N19" s="53"/>
      <c r="O19" s="56"/>
      <c r="P19" s="56"/>
      <c r="Q19" s="56"/>
      <c r="R19" s="113">
        <f t="shared" si="1"/>
        <v>0</v>
      </c>
      <c r="S19" s="68">
        <f t="shared" si="2"/>
        <v>0.65</v>
      </c>
      <c r="T19" s="120">
        <f t="shared" si="3"/>
        <v>0</v>
      </c>
      <c r="U19" s="67">
        <f t="shared" si="4"/>
        <v>375</v>
      </c>
      <c r="V19" s="149"/>
    </row>
    <row r="20" spans="1:22" s="50" customFormat="1" ht="54" customHeight="1">
      <c r="A20" s="149"/>
      <c r="B20" s="155"/>
      <c r="C20" s="157"/>
      <c r="D20" s="171"/>
      <c r="E20" s="215"/>
      <c r="F20" s="128"/>
      <c r="G20" s="128"/>
      <c r="H20" s="128"/>
      <c r="I20" s="128"/>
      <c r="J20" s="128"/>
      <c r="K20" s="128"/>
      <c r="L20" s="138"/>
      <c r="M20" s="139"/>
      <c r="N20" s="140" t="s">
        <v>142</v>
      </c>
      <c r="O20" s="137"/>
      <c r="P20" s="137"/>
      <c r="Q20" s="137"/>
      <c r="R20" s="113">
        <f t="shared" si="1"/>
        <v>0</v>
      </c>
      <c r="S20" s="68">
        <f t="shared" si="2"/>
        <v>0.65</v>
      </c>
      <c r="T20" s="120">
        <f t="shared" si="3"/>
        <v>0</v>
      </c>
      <c r="U20" s="67">
        <f t="shared" si="4"/>
        <v>375</v>
      </c>
      <c r="V20" s="149"/>
    </row>
    <row r="21" spans="1:22" s="50" customFormat="1" ht="54" customHeight="1" thickBot="1">
      <c r="A21" s="149"/>
      <c r="B21" s="156"/>
      <c r="C21" s="158"/>
      <c r="D21" s="172"/>
      <c r="E21" s="216"/>
      <c r="F21" s="128"/>
      <c r="G21" s="128"/>
      <c r="H21" s="128"/>
      <c r="I21" s="128"/>
      <c r="J21" s="128"/>
      <c r="K21" s="128"/>
      <c r="L21" s="57"/>
      <c r="M21" s="58"/>
      <c r="N21" s="59" t="s">
        <v>37</v>
      </c>
      <c r="O21" s="60"/>
      <c r="P21" s="60"/>
      <c r="Q21" s="60"/>
      <c r="R21" s="61"/>
      <c r="S21" s="62"/>
      <c r="T21" s="102"/>
      <c r="U21" s="102"/>
      <c r="V21" s="149"/>
    </row>
    <row r="22" spans="1:22" s="50" customFormat="1" ht="54" customHeight="1">
      <c r="A22" s="149"/>
      <c r="B22" s="154">
        <v>2</v>
      </c>
      <c r="C22" s="176" t="s">
        <v>60</v>
      </c>
      <c r="D22" s="170" t="s">
        <v>61</v>
      </c>
      <c r="E22" s="214"/>
      <c r="F22" s="90">
        <v>199</v>
      </c>
      <c r="G22" s="91">
        <v>0</v>
      </c>
      <c r="H22" s="90">
        <v>20</v>
      </c>
      <c r="I22" s="90">
        <v>199</v>
      </c>
      <c r="J22" s="90">
        <v>0</v>
      </c>
      <c r="K22" s="90">
        <v>1.6</v>
      </c>
      <c r="L22" s="46" t="s">
        <v>43</v>
      </c>
      <c r="M22" s="47" t="s">
        <v>15</v>
      </c>
      <c r="N22" s="48"/>
      <c r="O22" s="49"/>
      <c r="P22" s="49"/>
      <c r="Q22" s="49"/>
      <c r="R22" s="113">
        <f>SUM(O22*P22*Q22*7.85/1000000)</f>
        <v>0</v>
      </c>
      <c r="S22" s="68">
        <f>SUM($O$2)</f>
        <v>0.65</v>
      </c>
      <c r="T22" s="120">
        <f t="shared" ref="T22:T24" si="5">SUM(R22*S22)</f>
        <v>0</v>
      </c>
      <c r="U22" s="67">
        <f>SUM($O$1)</f>
        <v>375</v>
      </c>
      <c r="V22" s="149"/>
    </row>
    <row r="23" spans="1:22" s="50" customFormat="1" ht="54" customHeight="1">
      <c r="A23" s="149"/>
      <c r="B23" s="155"/>
      <c r="C23" s="157"/>
      <c r="D23" s="171"/>
      <c r="E23" s="215"/>
      <c r="F23" s="128"/>
      <c r="G23" s="128"/>
      <c r="H23" s="128"/>
      <c r="I23" s="128"/>
      <c r="J23" s="128"/>
      <c r="K23" s="128"/>
      <c r="L23" s="51"/>
      <c r="M23" s="52"/>
      <c r="N23" s="53"/>
      <c r="O23" s="49"/>
      <c r="P23" s="49"/>
      <c r="Q23" s="49"/>
      <c r="R23" s="113">
        <f t="shared" ref="R23:R24" si="6">SUM(O23*P23*Q23*7.85/1000000)</f>
        <v>0</v>
      </c>
      <c r="S23" s="68">
        <f t="shared" ref="S23:S24" si="7">SUM($O$2)</f>
        <v>0.65</v>
      </c>
      <c r="T23" s="120">
        <f t="shared" si="5"/>
        <v>0</v>
      </c>
      <c r="U23" s="67">
        <f t="shared" ref="U23:U24" si="8">SUM($O$1)</f>
        <v>375</v>
      </c>
      <c r="V23" s="149"/>
    </row>
    <row r="24" spans="1:22" s="50" customFormat="1" ht="54" customHeight="1">
      <c r="A24" s="149"/>
      <c r="B24" s="155"/>
      <c r="C24" s="157"/>
      <c r="D24" s="171"/>
      <c r="E24" s="215"/>
      <c r="F24" s="128"/>
      <c r="G24" s="128"/>
      <c r="H24" s="128"/>
      <c r="I24" s="128"/>
      <c r="J24" s="128"/>
      <c r="K24" s="128"/>
      <c r="L24" s="51"/>
      <c r="M24" s="52"/>
      <c r="N24" s="53"/>
      <c r="O24" s="49"/>
      <c r="P24" s="49"/>
      <c r="Q24" s="49"/>
      <c r="R24" s="113">
        <f t="shared" si="6"/>
        <v>0</v>
      </c>
      <c r="S24" s="68">
        <f t="shared" si="7"/>
        <v>0.65</v>
      </c>
      <c r="T24" s="120">
        <f t="shared" si="5"/>
        <v>0</v>
      </c>
      <c r="U24" s="67">
        <f t="shared" si="8"/>
        <v>375</v>
      </c>
      <c r="V24" s="149"/>
    </row>
    <row r="25" spans="1:22" s="50" customFormat="1" ht="54" customHeight="1" thickBot="1">
      <c r="A25" s="149"/>
      <c r="B25" s="155"/>
      <c r="C25" s="157"/>
      <c r="D25" s="171"/>
      <c r="E25" s="215"/>
      <c r="F25" s="128"/>
      <c r="G25" s="128"/>
      <c r="H25" s="128"/>
      <c r="I25" s="128"/>
      <c r="J25" s="128"/>
      <c r="K25" s="128"/>
      <c r="L25" s="51"/>
      <c r="M25" s="52"/>
      <c r="N25" s="53"/>
      <c r="O25" s="56"/>
      <c r="P25" s="56"/>
      <c r="Q25" s="56"/>
      <c r="R25" s="114"/>
      <c r="S25" s="83"/>
      <c r="T25" s="121"/>
      <c r="U25" s="103"/>
      <c r="V25" s="149"/>
    </row>
    <row r="26" spans="1:22" s="50" customFormat="1" ht="54" customHeight="1">
      <c r="A26" s="149"/>
      <c r="B26" s="155"/>
      <c r="C26" s="157"/>
      <c r="D26" s="171"/>
      <c r="E26" s="215"/>
      <c r="F26" s="128"/>
      <c r="G26" s="128"/>
      <c r="H26" s="128"/>
      <c r="I26" s="128"/>
      <c r="J26" s="128"/>
      <c r="K26" s="128"/>
      <c r="L26" s="138"/>
      <c r="M26" s="139"/>
      <c r="N26" s="140" t="s">
        <v>142</v>
      </c>
      <c r="O26" s="137"/>
      <c r="P26" s="137"/>
      <c r="Q26" s="137"/>
      <c r="R26" s="113">
        <f t="shared" ref="R26" si="9">SUM(O26*P26*Q26*7.85/1000000)</f>
        <v>0</v>
      </c>
      <c r="S26" s="68">
        <f t="shared" ref="S26" si="10">SUM($O$2)</f>
        <v>0.65</v>
      </c>
      <c r="T26" s="120">
        <f t="shared" ref="T26" si="11">SUM(R26*S26)</f>
        <v>0</v>
      </c>
      <c r="U26" s="67">
        <f t="shared" ref="U26" si="12">SUM($O$1)</f>
        <v>375</v>
      </c>
      <c r="V26" s="149"/>
    </row>
    <row r="27" spans="1:22" s="50" customFormat="1" ht="54" customHeight="1" thickBot="1">
      <c r="A27" s="149"/>
      <c r="B27" s="156"/>
      <c r="C27" s="158"/>
      <c r="D27" s="172"/>
      <c r="E27" s="216"/>
      <c r="F27" s="128"/>
      <c r="G27" s="128"/>
      <c r="H27" s="128"/>
      <c r="I27" s="128"/>
      <c r="J27" s="128"/>
      <c r="K27" s="128"/>
      <c r="L27" s="57"/>
      <c r="M27" s="58"/>
      <c r="N27" s="59" t="s">
        <v>37</v>
      </c>
      <c r="O27" s="60"/>
      <c r="P27" s="60"/>
      <c r="Q27" s="60"/>
      <c r="R27" s="141"/>
      <c r="S27" s="62"/>
      <c r="T27" s="102"/>
      <c r="U27" s="102"/>
      <c r="V27" s="149"/>
    </row>
    <row r="28" spans="1:22" s="50" customFormat="1" ht="54" customHeight="1">
      <c r="A28" s="149"/>
      <c r="B28" s="154">
        <v>3</v>
      </c>
      <c r="C28" s="176" t="s">
        <v>59</v>
      </c>
      <c r="D28" s="170" t="s">
        <v>62</v>
      </c>
      <c r="E28" s="214"/>
      <c r="F28" s="92">
        <v>395</v>
      </c>
      <c r="G28" s="93">
        <v>69</v>
      </c>
      <c r="H28" s="92">
        <v>61</v>
      </c>
      <c r="I28" s="92">
        <v>395</v>
      </c>
      <c r="J28" s="92">
        <v>123</v>
      </c>
      <c r="K28" s="92">
        <v>2.5</v>
      </c>
      <c r="L28" s="46" t="s">
        <v>43</v>
      </c>
      <c r="M28" s="47" t="s">
        <v>15</v>
      </c>
      <c r="N28" s="48" t="s">
        <v>128</v>
      </c>
      <c r="O28" s="49">
        <v>900</v>
      </c>
      <c r="P28" s="49">
        <v>500</v>
      </c>
      <c r="Q28" s="49">
        <v>400</v>
      </c>
      <c r="R28" s="123">
        <f>SUM(O28*P28*Q28*7.85/1000000)</f>
        <v>1413</v>
      </c>
      <c r="S28" s="68">
        <f>SUM($O$2)</f>
        <v>0.65</v>
      </c>
      <c r="T28" s="120">
        <f t="shared" ref="T28" si="13">SUM(R28*S28)</f>
        <v>918.45</v>
      </c>
      <c r="U28" s="67">
        <f>SUM($O$1)</f>
        <v>375</v>
      </c>
      <c r="V28" s="149"/>
    </row>
    <row r="29" spans="1:22" s="50" customFormat="1" ht="54" customHeight="1">
      <c r="A29" s="149"/>
      <c r="B29" s="155"/>
      <c r="C29" s="157"/>
      <c r="D29" s="171"/>
      <c r="E29" s="215"/>
      <c r="F29" s="128"/>
      <c r="G29" s="128"/>
      <c r="H29" s="128"/>
      <c r="I29" s="128"/>
      <c r="J29" s="128"/>
      <c r="K29" s="128"/>
      <c r="L29" s="51"/>
      <c r="M29" s="52" t="s">
        <v>98</v>
      </c>
      <c r="N29" s="53" t="s">
        <v>129</v>
      </c>
      <c r="O29" s="49">
        <v>700</v>
      </c>
      <c r="P29" s="49">
        <v>450</v>
      </c>
      <c r="Q29" s="49">
        <v>350</v>
      </c>
      <c r="R29" s="123">
        <f t="shared" ref="R29:R32" si="14">SUM(O29*P29*Q29*7.85/1000000)</f>
        <v>865.46249999999998</v>
      </c>
      <c r="S29" s="68">
        <f t="shared" ref="S29:S32" si="15">SUM($O$2)</f>
        <v>0.65</v>
      </c>
      <c r="T29" s="120">
        <f t="shared" ref="T29:T32" si="16">SUM(R29*S29)</f>
        <v>562.55062499999997</v>
      </c>
      <c r="U29" s="67">
        <f t="shared" ref="U29:U32" si="17">SUM($O$1)</f>
        <v>375</v>
      </c>
      <c r="V29" s="149"/>
    </row>
    <row r="30" spans="1:22" s="50" customFormat="1" ht="54" customHeight="1">
      <c r="A30" s="149"/>
      <c r="B30" s="155"/>
      <c r="C30" s="157"/>
      <c r="D30" s="171"/>
      <c r="E30" s="215"/>
      <c r="F30" s="128"/>
      <c r="G30" s="128"/>
      <c r="H30" s="128"/>
      <c r="I30" s="128"/>
      <c r="J30" s="128"/>
      <c r="K30" s="128"/>
      <c r="L30" s="51"/>
      <c r="M30" s="52"/>
      <c r="N30" s="53"/>
      <c r="O30" s="49"/>
      <c r="P30" s="49"/>
      <c r="Q30" s="49"/>
      <c r="R30" s="123">
        <f t="shared" si="14"/>
        <v>0</v>
      </c>
      <c r="S30" s="68">
        <f t="shared" si="15"/>
        <v>0.65</v>
      </c>
      <c r="T30" s="120">
        <f t="shared" si="16"/>
        <v>0</v>
      </c>
      <c r="U30" s="67">
        <f t="shared" si="17"/>
        <v>375</v>
      </c>
      <c r="V30" s="149"/>
    </row>
    <row r="31" spans="1:22" s="50" customFormat="1" ht="54" customHeight="1">
      <c r="A31" s="149"/>
      <c r="B31" s="155"/>
      <c r="C31" s="157"/>
      <c r="D31" s="171"/>
      <c r="E31" s="215"/>
      <c r="F31" s="128"/>
      <c r="G31" s="128"/>
      <c r="H31" s="128"/>
      <c r="I31" s="128"/>
      <c r="J31" s="128"/>
      <c r="K31" s="128"/>
      <c r="L31" s="51"/>
      <c r="M31" s="52"/>
      <c r="N31" s="53"/>
      <c r="O31" s="56"/>
      <c r="P31" s="56"/>
      <c r="Q31" s="56"/>
      <c r="R31" s="123">
        <f t="shared" si="14"/>
        <v>0</v>
      </c>
      <c r="S31" s="68">
        <f t="shared" si="15"/>
        <v>0.65</v>
      </c>
      <c r="T31" s="120">
        <f t="shared" si="16"/>
        <v>0</v>
      </c>
      <c r="U31" s="67">
        <f t="shared" si="17"/>
        <v>375</v>
      </c>
      <c r="V31" s="149"/>
    </row>
    <row r="32" spans="1:22" s="50" customFormat="1" ht="54" customHeight="1">
      <c r="A32" s="149"/>
      <c r="B32" s="155"/>
      <c r="C32" s="157"/>
      <c r="D32" s="171"/>
      <c r="E32" s="215"/>
      <c r="F32" s="128"/>
      <c r="G32" s="128"/>
      <c r="H32" s="128"/>
      <c r="I32" s="128"/>
      <c r="J32" s="128"/>
      <c r="K32" s="128"/>
      <c r="L32" s="138"/>
      <c r="M32" s="139"/>
      <c r="N32" s="140" t="s">
        <v>142</v>
      </c>
      <c r="O32" s="137"/>
      <c r="P32" s="137"/>
      <c r="Q32" s="137"/>
      <c r="R32" s="113">
        <f t="shared" si="14"/>
        <v>0</v>
      </c>
      <c r="S32" s="68">
        <f t="shared" si="15"/>
        <v>0.65</v>
      </c>
      <c r="T32" s="120">
        <f t="shared" si="16"/>
        <v>0</v>
      </c>
      <c r="U32" s="67">
        <f t="shared" si="17"/>
        <v>375</v>
      </c>
      <c r="V32" s="149"/>
    </row>
    <row r="33" spans="1:22" s="50" customFormat="1" ht="54" customHeight="1" thickBot="1">
      <c r="A33" s="149"/>
      <c r="B33" s="156"/>
      <c r="C33" s="158"/>
      <c r="D33" s="172"/>
      <c r="E33" s="216"/>
      <c r="F33" s="128"/>
      <c r="G33" s="128"/>
      <c r="H33" s="128"/>
      <c r="I33" s="128"/>
      <c r="J33" s="128"/>
      <c r="K33" s="128"/>
      <c r="L33" s="57"/>
      <c r="M33" s="58"/>
      <c r="N33" s="59" t="s">
        <v>37</v>
      </c>
      <c r="O33" s="60"/>
      <c r="P33" s="60"/>
      <c r="Q33" s="60"/>
      <c r="R33" s="61"/>
      <c r="S33" s="62"/>
      <c r="T33" s="102"/>
      <c r="U33" s="102"/>
      <c r="V33" s="149"/>
    </row>
    <row r="34" spans="1:22" s="50" customFormat="1" ht="54" customHeight="1">
      <c r="A34" s="149"/>
      <c r="B34" s="154">
        <v>4</v>
      </c>
      <c r="C34" s="176" t="s">
        <v>64</v>
      </c>
      <c r="D34" s="170" t="s">
        <v>63</v>
      </c>
      <c r="E34" s="214"/>
      <c r="F34" s="94">
        <v>270</v>
      </c>
      <c r="G34" s="95">
        <v>0</v>
      </c>
      <c r="H34" s="94">
        <v>16</v>
      </c>
      <c r="I34" s="94">
        <v>270</v>
      </c>
      <c r="J34" s="94">
        <v>0</v>
      </c>
      <c r="K34" s="94">
        <v>1.6</v>
      </c>
      <c r="L34" s="46" t="s">
        <v>43</v>
      </c>
      <c r="M34" s="47" t="s">
        <v>15</v>
      </c>
      <c r="N34" s="48"/>
      <c r="O34" s="49"/>
      <c r="P34" s="49"/>
      <c r="Q34" s="49"/>
      <c r="R34" s="113">
        <f>SUM(O34*P34*Q34*7.85/1000000)</f>
        <v>0</v>
      </c>
      <c r="S34" s="68">
        <f>SUM($O$2)</f>
        <v>0.65</v>
      </c>
      <c r="T34" s="120">
        <f t="shared" ref="T34:T36" si="18">SUM(R34*S34)</f>
        <v>0</v>
      </c>
      <c r="U34" s="67">
        <f>SUM($O$1)</f>
        <v>375</v>
      </c>
      <c r="V34" s="149"/>
    </row>
    <row r="35" spans="1:22" s="50" customFormat="1" ht="54" customHeight="1">
      <c r="A35" s="149"/>
      <c r="B35" s="155"/>
      <c r="C35" s="157"/>
      <c r="D35" s="171"/>
      <c r="E35" s="215"/>
      <c r="F35" s="128"/>
      <c r="G35" s="128"/>
      <c r="H35" s="128"/>
      <c r="I35" s="128"/>
      <c r="J35" s="128"/>
      <c r="K35" s="128"/>
      <c r="L35" s="51"/>
      <c r="M35" s="52"/>
      <c r="N35" s="53"/>
      <c r="O35" s="49"/>
      <c r="P35" s="49"/>
      <c r="Q35" s="49"/>
      <c r="R35" s="113">
        <f t="shared" ref="R35:R36" si="19">SUM(O35*P35*Q35*7.85/1000000)</f>
        <v>0</v>
      </c>
      <c r="S35" s="68">
        <f t="shared" ref="S35:S36" si="20">SUM($O$2)</f>
        <v>0.65</v>
      </c>
      <c r="T35" s="120">
        <f t="shared" si="18"/>
        <v>0</v>
      </c>
      <c r="U35" s="67">
        <f t="shared" ref="U35:U36" si="21">SUM($O$1)</f>
        <v>375</v>
      </c>
      <c r="V35" s="149"/>
    </row>
    <row r="36" spans="1:22" s="50" customFormat="1" ht="54" customHeight="1">
      <c r="A36" s="149"/>
      <c r="B36" s="155"/>
      <c r="C36" s="157"/>
      <c r="D36" s="171"/>
      <c r="E36" s="215"/>
      <c r="F36" s="128"/>
      <c r="G36" s="128"/>
      <c r="H36" s="128"/>
      <c r="I36" s="128"/>
      <c r="J36" s="128"/>
      <c r="K36" s="128"/>
      <c r="L36" s="51"/>
      <c r="M36" s="52"/>
      <c r="N36" s="53"/>
      <c r="O36" s="49"/>
      <c r="P36" s="49"/>
      <c r="Q36" s="49"/>
      <c r="R36" s="113">
        <f t="shared" si="19"/>
        <v>0</v>
      </c>
      <c r="S36" s="68">
        <f t="shared" si="20"/>
        <v>0.65</v>
      </c>
      <c r="T36" s="120">
        <f t="shared" si="18"/>
        <v>0</v>
      </c>
      <c r="U36" s="67">
        <f t="shared" si="21"/>
        <v>375</v>
      </c>
      <c r="V36" s="149"/>
    </row>
    <row r="37" spans="1:22" s="50" customFormat="1" ht="54" customHeight="1" thickBot="1">
      <c r="A37" s="149"/>
      <c r="B37" s="155"/>
      <c r="C37" s="157"/>
      <c r="D37" s="171"/>
      <c r="E37" s="215"/>
      <c r="F37" s="128"/>
      <c r="G37" s="128"/>
      <c r="H37" s="128"/>
      <c r="I37" s="128"/>
      <c r="J37" s="128"/>
      <c r="K37" s="128"/>
      <c r="L37" s="51"/>
      <c r="M37" s="52"/>
      <c r="N37" s="53"/>
      <c r="O37" s="56"/>
      <c r="P37" s="56"/>
      <c r="Q37" s="56"/>
      <c r="R37" s="114"/>
      <c r="S37" s="83"/>
      <c r="T37" s="121"/>
      <c r="U37" s="103"/>
      <c r="V37" s="149"/>
    </row>
    <row r="38" spans="1:22" s="50" customFormat="1" ht="54" customHeight="1">
      <c r="A38" s="149"/>
      <c r="B38" s="155"/>
      <c r="C38" s="157"/>
      <c r="D38" s="171"/>
      <c r="E38" s="215"/>
      <c r="F38" s="128"/>
      <c r="G38" s="128"/>
      <c r="H38" s="128"/>
      <c r="I38" s="128"/>
      <c r="J38" s="128"/>
      <c r="K38" s="128"/>
      <c r="L38" s="138"/>
      <c r="M38" s="139"/>
      <c r="N38" s="140" t="s">
        <v>142</v>
      </c>
      <c r="O38" s="137"/>
      <c r="P38" s="137"/>
      <c r="Q38" s="137"/>
      <c r="R38" s="113">
        <f t="shared" ref="R38" si="22">SUM(O38*P38*Q38*7.85/1000000)</f>
        <v>0</v>
      </c>
      <c r="S38" s="68">
        <f t="shared" ref="S38" si="23">SUM($O$2)</f>
        <v>0.65</v>
      </c>
      <c r="T38" s="120">
        <f t="shared" ref="T38" si="24">SUM(R38*S38)</f>
        <v>0</v>
      </c>
      <c r="U38" s="67">
        <f t="shared" ref="U38" si="25">SUM($O$1)</f>
        <v>375</v>
      </c>
      <c r="V38" s="149"/>
    </row>
    <row r="39" spans="1:22" s="50" customFormat="1" ht="54" customHeight="1" thickBot="1">
      <c r="A39" s="149"/>
      <c r="B39" s="156"/>
      <c r="C39" s="158"/>
      <c r="D39" s="172"/>
      <c r="E39" s="216"/>
      <c r="F39" s="128"/>
      <c r="G39" s="128"/>
      <c r="H39" s="128"/>
      <c r="I39" s="128"/>
      <c r="J39" s="128"/>
      <c r="K39" s="128"/>
      <c r="L39" s="57"/>
      <c r="M39" s="58"/>
      <c r="N39" s="59" t="s">
        <v>37</v>
      </c>
      <c r="O39" s="60"/>
      <c r="P39" s="60"/>
      <c r="Q39" s="60"/>
      <c r="R39" s="61"/>
      <c r="S39" s="62"/>
      <c r="T39" s="102"/>
      <c r="U39" s="102"/>
      <c r="V39" s="149"/>
    </row>
    <row r="40" spans="1:22" s="50" customFormat="1" ht="54" customHeight="1">
      <c r="A40" s="149"/>
      <c r="B40" s="154">
        <v>5</v>
      </c>
      <c r="C40" s="176" t="s">
        <v>66</v>
      </c>
      <c r="D40" s="170" t="s">
        <v>65</v>
      </c>
      <c r="E40" s="214"/>
      <c r="F40" s="96">
        <v>280</v>
      </c>
      <c r="G40" s="97">
        <v>25</v>
      </c>
      <c r="H40" s="96">
        <v>33</v>
      </c>
      <c r="I40" s="96">
        <v>280</v>
      </c>
      <c r="J40" s="96">
        <v>82</v>
      </c>
      <c r="K40" s="96">
        <v>2.5</v>
      </c>
      <c r="L40" s="46" t="s">
        <v>43</v>
      </c>
      <c r="M40" s="47" t="s">
        <v>15</v>
      </c>
      <c r="N40" s="48" t="s">
        <v>128</v>
      </c>
      <c r="O40" s="49">
        <v>800</v>
      </c>
      <c r="P40" s="49">
        <v>450</v>
      </c>
      <c r="Q40" s="49">
        <v>350</v>
      </c>
      <c r="R40" s="113">
        <f>SUM(O40*P40*Q40*7.85/1000000)</f>
        <v>989.1</v>
      </c>
      <c r="S40" s="68">
        <f>SUM($O$2)</f>
        <v>0.65</v>
      </c>
      <c r="T40" s="120">
        <f t="shared" ref="T40:T42" si="26">SUM(R40*S40)</f>
        <v>642.91500000000008</v>
      </c>
      <c r="U40" s="67">
        <f>SUM($O$1)</f>
        <v>375</v>
      </c>
      <c r="V40" s="149"/>
    </row>
    <row r="41" spans="1:22" s="50" customFormat="1" ht="54" customHeight="1">
      <c r="A41" s="149"/>
      <c r="B41" s="155"/>
      <c r="C41" s="157"/>
      <c r="D41" s="171"/>
      <c r="E41" s="215"/>
      <c r="F41" s="128"/>
      <c r="G41" s="128"/>
      <c r="H41" s="128"/>
      <c r="I41" s="128"/>
      <c r="J41" s="128"/>
      <c r="K41" s="128"/>
      <c r="L41" s="51"/>
      <c r="M41" s="52" t="s">
        <v>98</v>
      </c>
      <c r="N41" s="53" t="s">
        <v>129</v>
      </c>
      <c r="O41" s="49">
        <v>700</v>
      </c>
      <c r="P41" s="49">
        <v>400</v>
      </c>
      <c r="Q41" s="49">
        <v>350</v>
      </c>
      <c r="R41" s="113">
        <f t="shared" ref="R41:R42" si="27">SUM(O41*P41*Q41*7.85/1000000)</f>
        <v>769.3</v>
      </c>
      <c r="S41" s="68">
        <f t="shared" ref="S41:S42" si="28">SUM($O$2)</f>
        <v>0.65</v>
      </c>
      <c r="T41" s="120">
        <f t="shared" si="26"/>
        <v>500.04500000000002</v>
      </c>
      <c r="U41" s="67">
        <f t="shared" ref="U41:U42" si="29">SUM($O$1)</f>
        <v>375</v>
      </c>
      <c r="V41" s="149"/>
    </row>
    <row r="42" spans="1:22" s="50" customFormat="1" ht="54" customHeight="1">
      <c r="A42" s="149"/>
      <c r="B42" s="155"/>
      <c r="C42" s="157"/>
      <c r="D42" s="171"/>
      <c r="E42" s="215"/>
      <c r="F42" s="128"/>
      <c r="G42" s="128"/>
      <c r="H42" s="128"/>
      <c r="I42" s="128"/>
      <c r="J42" s="128"/>
      <c r="K42" s="128"/>
      <c r="L42" s="51"/>
      <c r="M42" s="52"/>
      <c r="N42" s="53"/>
      <c r="O42" s="49"/>
      <c r="P42" s="49"/>
      <c r="Q42" s="49"/>
      <c r="R42" s="113">
        <f t="shared" si="27"/>
        <v>0</v>
      </c>
      <c r="S42" s="68">
        <f t="shared" si="28"/>
        <v>0.65</v>
      </c>
      <c r="T42" s="120">
        <f t="shared" si="26"/>
        <v>0</v>
      </c>
      <c r="U42" s="67">
        <f t="shared" si="29"/>
        <v>375</v>
      </c>
      <c r="V42" s="149"/>
    </row>
    <row r="43" spans="1:22" s="50" customFormat="1" ht="54" customHeight="1" thickBot="1">
      <c r="A43" s="149"/>
      <c r="B43" s="155"/>
      <c r="C43" s="157"/>
      <c r="D43" s="171"/>
      <c r="E43" s="215"/>
      <c r="F43" s="128"/>
      <c r="G43" s="128"/>
      <c r="H43" s="128"/>
      <c r="I43" s="128"/>
      <c r="J43" s="128"/>
      <c r="K43" s="128"/>
      <c r="L43" s="51"/>
      <c r="M43" s="52"/>
      <c r="N43" s="53"/>
      <c r="O43" s="56"/>
      <c r="P43" s="56"/>
      <c r="Q43" s="56"/>
      <c r="R43" s="114"/>
      <c r="S43" s="83"/>
      <c r="T43" s="121"/>
      <c r="U43" s="103"/>
      <c r="V43" s="149"/>
    </row>
    <row r="44" spans="1:22" s="50" customFormat="1" ht="54" customHeight="1">
      <c r="A44" s="149"/>
      <c r="B44" s="155"/>
      <c r="C44" s="157"/>
      <c r="D44" s="171"/>
      <c r="E44" s="215"/>
      <c r="F44" s="137"/>
      <c r="G44" s="137"/>
      <c r="H44" s="137"/>
      <c r="I44" s="137"/>
      <c r="J44" s="137"/>
      <c r="K44" s="137"/>
      <c r="L44" s="138"/>
      <c r="M44" s="139"/>
      <c r="N44" s="140" t="s">
        <v>142</v>
      </c>
      <c r="O44" s="137"/>
      <c r="P44" s="137"/>
      <c r="Q44" s="137"/>
      <c r="R44" s="113">
        <f t="shared" ref="R44" si="30">SUM(O44*P44*Q44*7.85/1000000)</f>
        <v>0</v>
      </c>
      <c r="S44" s="68">
        <f t="shared" ref="S44" si="31">SUM($O$2)</f>
        <v>0.65</v>
      </c>
      <c r="T44" s="120">
        <f t="shared" ref="T44" si="32">SUM(R44*S44)</f>
        <v>0</v>
      </c>
      <c r="U44" s="67">
        <f t="shared" ref="U44" si="33">SUM($O$1)</f>
        <v>375</v>
      </c>
      <c r="V44" s="149"/>
    </row>
    <row r="45" spans="1:22" s="50" customFormat="1" ht="54" customHeight="1" thickBot="1">
      <c r="A45" s="149"/>
      <c r="B45" s="156"/>
      <c r="C45" s="158"/>
      <c r="D45" s="172"/>
      <c r="E45" s="216"/>
      <c r="F45" s="137"/>
      <c r="G45" s="137"/>
      <c r="H45" s="137"/>
      <c r="I45" s="137"/>
      <c r="J45" s="137"/>
      <c r="K45" s="137"/>
      <c r="L45" s="57"/>
      <c r="M45" s="58"/>
      <c r="N45" s="59" t="s">
        <v>37</v>
      </c>
      <c r="O45" s="60"/>
      <c r="P45" s="60"/>
      <c r="Q45" s="60"/>
      <c r="R45" s="61"/>
      <c r="S45" s="62"/>
      <c r="T45" s="102"/>
      <c r="U45" s="102"/>
      <c r="V45" s="149"/>
    </row>
    <row r="46" spans="1:22" ht="54" customHeight="1">
      <c r="A46" s="149"/>
      <c r="B46" s="154">
        <v>6</v>
      </c>
      <c r="C46" s="211" t="s">
        <v>74</v>
      </c>
      <c r="D46" s="161" t="s">
        <v>75</v>
      </c>
      <c r="E46" s="213"/>
      <c r="F46" s="75">
        <v>74</v>
      </c>
      <c r="G46" s="75">
        <v>35</v>
      </c>
      <c r="H46" s="75">
        <v>45</v>
      </c>
      <c r="I46" s="75">
        <v>74</v>
      </c>
      <c r="J46" s="75">
        <v>88</v>
      </c>
      <c r="K46" s="75">
        <v>4</v>
      </c>
      <c r="L46" s="64" t="s">
        <v>43</v>
      </c>
      <c r="M46" s="47" t="s">
        <v>15</v>
      </c>
      <c r="N46" s="48" t="s">
        <v>128</v>
      </c>
      <c r="O46" s="67">
        <v>500</v>
      </c>
      <c r="P46" s="67">
        <v>400</v>
      </c>
      <c r="Q46" s="67">
        <v>350</v>
      </c>
      <c r="R46" s="113">
        <f>SUM(O46*P46*Q46*7.85/1000000)</f>
        <v>549.5</v>
      </c>
      <c r="S46" s="68">
        <f>SUM($O$2)</f>
        <v>0.65</v>
      </c>
      <c r="T46" s="120">
        <f t="shared" ref="T46:T48" si="34">SUM(R46*S46)</f>
        <v>357.17500000000001</v>
      </c>
      <c r="U46" s="67">
        <f>SUM($O$1)</f>
        <v>375</v>
      </c>
      <c r="V46" s="149"/>
    </row>
    <row r="47" spans="1:22" ht="54" customHeight="1">
      <c r="A47" s="149"/>
      <c r="B47" s="155"/>
      <c r="C47" s="211"/>
      <c r="D47" s="161"/>
      <c r="E47" s="164"/>
      <c r="F47" s="128"/>
      <c r="G47" s="128"/>
      <c r="H47" s="128"/>
      <c r="I47" s="128"/>
      <c r="J47" s="128"/>
      <c r="K47" s="128"/>
      <c r="L47" s="71"/>
      <c r="M47" s="52" t="s">
        <v>98</v>
      </c>
      <c r="N47" s="53" t="s">
        <v>129</v>
      </c>
      <c r="O47" s="67">
        <v>400</v>
      </c>
      <c r="P47" s="67">
        <v>350</v>
      </c>
      <c r="Q47" s="67">
        <v>350</v>
      </c>
      <c r="R47" s="113">
        <f t="shared" ref="R47:R48" si="35">SUM(O47*P47*Q47*7.85/1000000)</f>
        <v>384.65</v>
      </c>
      <c r="S47" s="68">
        <f t="shared" ref="S47:S48" si="36">SUM($O$2)</f>
        <v>0.65</v>
      </c>
      <c r="T47" s="120">
        <f t="shared" si="34"/>
        <v>250.02250000000001</v>
      </c>
      <c r="U47" s="67">
        <f t="shared" ref="U47:U48" si="37">SUM($O$1)</f>
        <v>375</v>
      </c>
      <c r="V47" s="149"/>
    </row>
    <row r="48" spans="1:22" ht="54" customHeight="1">
      <c r="A48" s="149"/>
      <c r="B48" s="155"/>
      <c r="C48" s="211"/>
      <c r="D48" s="161"/>
      <c r="E48" s="164"/>
      <c r="F48" s="128"/>
      <c r="G48" s="128"/>
      <c r="H48" s="128"/>
      <c r="I48" s="128"/>
      <c r="J48" s="128"/>
      <c r="K48" s="128"/>
      <c r="L48" s="71"/>
      <c r="M48" s="72"/>
      <c r="N48" s="73"/>
      <c r="O48" s="67"/>
      <c r="P48" s="67"/>
      <c r="Q48" s="67"/>
      <c r="R48" s="113">
        <f t="shared" si="35"/>
        <v>0</v>
      </c>
      <c r="S48" s="68">
        <f t="shared" si="36"/>
        <v>0.65</v>
      </c>
      <c r="T48" s="120">
        <f t="shared" si="34"/>
        <v>0</v>
      </c>
      <c r="U48" s="67">
        <f t="shared" si="37"/>
        <v>375</v>
      </c>
      <c r="V48" s="149"/>
    </row>
    <row r="49" spans="1:22" ht="54" customHeight="1" thickBot="1">
      <c r="A49" s="149"/>
      <c r="B49" s="155"/>
      <c r="C49" s="211"/>
      <c r="D49" s="161"/>
      <c r="E49" s="164"/>
      <c r="F49" s="128"/>
      <c r="G49" s="128"/>
      <c r="H49" s="128"/>
      <c r="I49" s="128"/>
      <c r="J49" s="128"/>
      <c r="K49" s="128"/>
      <c r="L49" s="71"/>
      <c r="M49" s="72"/>
      <c r="N49" s="73"/>
      <c r="O49" s="75"/>
      <c r="P49" s="75"/>
      <c r="Q49" s="75"/>
      <c r="R49" s="114"/>
      <c r="S49" s="83"/>
      <c r="T49" s="121"/>
      <c r="U49" s="103"/>
      <c r="V49" s="149"/>
    </row>
    <row r="50" spans="1:22" ht="54" customHeight="1">
      <c r="A50" s="149"/>
      <c r="B50" s="155"/>
      <c r="C50" s="211"/>
      <c r="D50" s="161"/>
      <c r="E50" s="164"/>
      <c r="F50" s="137"/>
      <c r="G50" s="137"/>
      <c r="H50" s="137"/>
      <c r="I50" s="137"/>
      <c r="J50" s="137"/>
      <c r="K50" s="137"/>
      <c r="L50" s="133"/>
      <c r="M50" s="134"/>
      <c r="N50" s="140" t="s">
        <v>142</v>
      </c>
      <c r="O50" s="137"/>
      <c r="P50" s="137"/>
      <c r="Q50" s="137"/>
      <c r="R50" s="113">
        <f t="shared" ref="R50" si="38">SUM(O50*P50*Q50*7.85/1000000)</f>
        <v>0</v>
      </c>
      <c r="S50" s="68">
        <f t="shared" ref="S50" si="39">SUM($O$2)</f>
        <v>0.65</v>
      </c>
      <c r="T50" s="120">
        <f t="shared" ref="T50" si="40">SUM(R50*S50)</f>
        <v>0</v>
      </c>
      <c r="U50" s="67">
        <f t="shared" ref="U50" si="41">SUM($O$1)</f>
        <v>375</v>
      </c>
      <c r="V50" s="149"/>
    </row>
    <row r="51" spans="1:22" ht="54" customHeight="1" thickBot="1">
      <c r="A51" s="149"/>
      <c r="B51" s="156"/>
      <c r="C51" s="212"/>
      <c r="D51" s="162"/>
      <c r="E51" s="165"/>
      <c r="F51" s="137"/>
      <c r="G51" s="137"/>
      <c r="H51" s="137"/>
      <c r="I51" s="137"/>
      <c r="J51" s="137"/>
      <c r="K51" s="137"/>
      <c r="L51" s="79"/>
      <c r="M51" s="80"/>
      <c r="N51" s="81" t="s">
        <v>37</v>
      </c>
      <c r="O51" s="82"/>
      <c r="P51" s="82"/>
      <c r="Q51" s="82"/>
      <c r="R51" s="61"/>
      <c r="S51" s="62"/>
      <c r="T51" s="102"/>
      <c r="U51" s="102"/>
      <c r="V51" s="149"/>
    </row>
    <row r="52" spans="1:22" ht="54" customHeight="1">
      <c r="A52" s="149"/>
      <c r="B52" s="154">
        <v>7</v>
      </c>
      <c r="C52" s="211" t="s">
        <v>76</v>
      </c>
      <c r="D52" s="159" t="s">
        <v>77</v>
      </c>
      <c r="E52" s="161"/>
      <c r="F52" s="75">
        <v>205</v>
      </c>
      <c r="G52" s="75">
        <v>72</v>
      </c>
      <c r="H52" s="75">
        <v>4</v>
      </c>
      <c r="I52" s="75">
        <v>205</v>
      </c>
      <c r="J52" s="75">
        <v>72</v>
      </c>
      <c r="K52" s="75">
        <v>4</v>
      </c>
      <c r="L52" s="64" t="s">
        <v>43</v>
      </c>
      <c r="M52" s="65" t="s">
        <v>15</v>
      </c>
      <c r="N52" s="66" t="s">
        <v>130</v>
      </c>
      <c r="O52" s="67">
        <v>700</v>
      </c>
      <c r="P52" s="67">
        <v>450</v>
      </c>
      <c r="Q52" s="67">
        <v>350</v>
      </c>
      <c r="R52" s="113">
        <f>SUM(O52*P52*Q52*7.85/1000000)</f>
        <v>865.46249999999998</v>
      </c>
      <c r="S52" s="68">
        <f>SUM($O$2)</f>
        <v>0.65</v>
      </c>
      <c r="T52" s="120">
        <f t="shared" ref="T52:T54" si="42">SUM(R52*S52)</f>
        <v>562.55062499999997</v>
      </c>
      <c r="U52" s="67">
        <f>SUM($O$1)</f>
        <v>375</v>
      </c>
      <c r="V52" s="149"/>
    </row>
    <row r="53" spans="1:22" ht="54" customHeight="1">
      <c r="A53" s="149"/>
      <c r="B53" s="155"/>
      <c r="C53" s="211"/>
      <c r="D53" s="159"/>
      <c r="E53" s="161"/>
      <c r="F53" s="128"/>
      <c r="G53" s="128"/>
      <c r="H53" s="128"/>
      <c r="I53" s="128"/>
      <c r="J53" s="128"/>
      <c r="K53" s="128"/>
      <c r="L53" s="71"/>
      <c r="M53" s="72" t="s">
        <v>98</v>
      </c>
      <c r="N53" s="73" t="s">
        <v>138</v>
      </c>
      <c r="O53" s="67">
        <v>600</v>
      </c>
      <c r="P53" s="67">
        <v>400</v>
      </c>
      <c r="Q53" s="67">
        <v>350</v>
      </c>
      <c r="R53" s="113">
        <f t="shared" ref="R53:R54" si="43">SUM(O53*P53*Q53*7.85/1000000)</f>
        <v>659.4</v>
      </c>
      <c r="S53" s="68">
        <f t="shared" ref="S53:S54" si="44">SUM($O$2)</f>
        <v>0.65</v>
      </c>
      <c r="T53" s="120">
        <f t="shared" si="42"/>
        <v>428.61</v>
      </c>
      <c r="U53" s="67">
        <f t="shared" ref="U53:U54" si="45">SUM($O$1)</f>
        <v>375</v>
      </c>
      <c r="V53" s="149"/>
    </row>
    <row r="54" spans="1:22" ht="54" customHeight="1">
      <c r="A54" s="149"/>
      <c r="B54" s="155"/>
      <c r="C54" s="211"/>
      <c r="D54" s="159"/>
      <c r="E54" s="161"/>
      <c r="F54" s="128"/>
      <c r="G54" s="128"/>
      <c r="H54" s="128"/>
      <c r="I54" s="128"/>
      <c r="J54" s="128"/>
      <c r="K54" s="128"/>
      <c r="L54" s="71"/>
      <c r="M54" s="72"/>
      <c r="N54" s="73"/>
      <c r="O54" s="67"/>
      <c r="P54" s="67"/>
      <c r="Q54" s="67"/>
      <c r="R54" s="113">
        <f t="shared" si="43"/>
        <v>0</v>
      </c>
      <c r="S54" s="68">
        <f t="shared" si="44"/>
        <v>0.65</v>
      </c>
      <c r="T54" s="120">
        <f t="shared" si="42"/>
        <v>0</v>
      </c>
      <c r="U54" s="67">
        <f t="shared" si="45"/>
        <v>375</v>
      </c>
      <c r="V54" s="149"/>
    </row>
    <row r="55" spans="1:22" ht="54" customHeight="1" thickBot="1">
      <c r="A55" s="149"/>
      <c r="B55" s="155"/>
      <c r="C55" s="211"/>
      <c r="D55" s="159"/>
      <c r="E55" s="161"/>
      <c r="F55" s="128"/>
      <c r="G55" s="128"/>
      <c r="H55" s="128"/>
      <c r="I55" s="128"/>
      <c r="J55" s="128"/>
      <c r="K55" s="128"/>
      <c r="L55" s="71"/>
      <c r="M55" s="72"/>
      <c r="N55" s="73"/>
      <c r="O55" s="75"/>
      <c r="P55" s="75"/>
      <c r="Q55" s="75"/>
      <c r="R55" s="114"/>
      <c r="S55" s="83"/>
      <c r="T55" s="121"/>
      <c r="U55" s="103"/>
      <c r="V55" s="149"/>
    </row>
    <row r="56" spans="1:22" ht="54" customHeight="1">
      <c r="A56" s="149"/>
      <c r="B56" s="155"/>
      <c r="C56" s="211"/>
      <c r="D56" s="159"/>
      <c r="E56" s="161"/>
      <c r="F56" s="137"/>
      <c r="G56" s="137"/>
      <c r="H56" s="137"/>
      <c r="I56" s="137"/>
      <c r="J56" s="137"/>
      <c r="K56" s="137"/>
      <c r="L56" s="133"/>
      <c r="M56" s="134"/>
      <c r="N56" s="140" t="s">
        <v>142</v>
      </c>
      <c r="O56" s="137"/>
      <c r="P56" s="137"/>
      <c r="Q56" s="137"/>
      <c r="R56" s="113">
        <f t="shared" ref="R56" si="46">SUM(O56*P56*Q56*7.85/1000000)</f>
        <v>0</v>
      </c>
      <c r="S56" s="68">
        <f t="shared" ref="S56" si="47">SUM($O$2)</f>
        <v>0.65</v>
      </c>
      <c r="T56" s="120">
        <f t="shared" ref="T56" si="48">SUM(R56*S56)</f>
        <v>0</v>
      </c>
      <c r="U56" s="67">
        <f t="shared" ref="U56" si="49">SUM($O$1)</f>
        <v>375</v>
      </c>
      <c r="V56" s="149"/>
    </row>
    <row r="57" spans="1:22" ht="54" customHeight="1" thickBot="1">
      <c r="A57" s="149"/>
      <c r="B57" s="156"/>
      <c r="C57" s="212"/>
      <c r="D57" s="160"/>
      <c r="E57" s="162"/>
      <c r="F57" s="137"/>
      <c r="G57" s="137"/>
      <c r="H57" s="137"/>
      <c r="I57" s="137"/>
      <c r="J57" s="137"/>
      <c r="K57" s="137"/>
      <c r="L57" s="79"/>
      <c r="M57" s="80"/>
      <c r="N57" s="81" t="s">
        <v>37</v>
      </c>
      <c r="O57" s="82"/>
      <c r="P57" s="82"/>
      <c r="Q57" s="82"/>
      <c r="R57" s="61"/>
      <c r="S57" s="62"/>
      <c r="T57" s="102"/>
      <c r="U57" s="102"/>
      <c r="V57" s="149"/>
    </row>
    <row r="58" spans="1:22" ht="54" customHeight="1">
      <c r="A58" s="149"/>
      <c r="B58" s="154">
        <v>8</v>
      </c>
      <c r="C58" s="211" t="s">
        <v>78</v>
      </c>
      <c r="D58" s="159" t="s">
        <v>79</v>
      </c>
      <c r="E58" s="161"/>
      <c r="F58" s="75">
        <v>115</v>
      </c>
      <c r="G58" s="75">
        <v>44</v>
      </c>
      <c r="H58" s="75">
        <v>4</v>
      </c>
      <c r="I58" s="75">
        <v>115</v>
      </c>
      <c r="J58" s="75">
        <v>44</v>
      </c>
      <c r="K58" s="75">
        <v>4</v>
      </c>
      <c r="L58" s="64" t="s">
        <v>43</v>
      </c>
      <c r="M58" s="65" t="s">
        <v>15</v>
      </c>
      <c r="N58" s="66" t="s">
        <v>130</v>
      </c>
      <c r="O58" s="67">
        <v>500</v>
      </c>
      <c r="P58" s="67">
        <v>400</v>
      </c>
      <c r="Q58" s="67">
        <v>350</v>
      </c>
      <c r="R58" s="113">
        <f>SUM(O58*P58*Q58*7.85/1000000)</f>
        <v>549.5</v>
      </c>
      <c r="S58" s="68">
        <f>SUM($O$2)</f>
        <v>0.65</v>
      </c>
      <c r="T58" s="120">
        <f t="shared" ref="T58:T60" si="50">SUM(R58*S58)</f>
        <v>357.17500000000001</v>
      </c>
      <c r="U58" s="67">
        <f>SUM($O$1)</f>
        <v>375</v>
      </c>
      <c r="V58" s="149"/>
    </row>
    <row r="59" spans="1:22" ht="54" customHeight="1">
      <c r="A59" s="149"/>
      <c r="B59" s="155"/>
      <c r="C59" s="211"/>
      <c r="D59" s="159"/>
      <c r="E59" s="161"/>
      <c r="F59" s="128"/>
      <c r="G59" s="128"/>
      <c r="H59" s="128"/>
      <c r="I59" s="128"/>
      <c r="J59" s="128"/>
      <c r="K59" s="128"/>
      <c r="L59" s="71"/>
      <c r="M59" s="72" t="s">
        <v>98</v>
      </c>
      <c r="N59" s="73" t="s">
        <v>138</v>
      </c>
      <c r="O59" s="67">
        <v>350</v>
      </c>
      <c r="P59" s="67">
        <v>300</v>
      </c>
      <c r="Q59" s="67">
        <v>350</v>
      </c>
      <c r="R59" s="113">
        <f t="shared" ref="R59:R60" si="51">SUM(O59*P59*Q59*7.85/1000000)</f>
        <v>288.48750000000001</v>
      </c>
      <c r="S59" s="68">
        <f t="shared" ref="S59:S60" si="52">SUM($O$2)</f>
        <v>0.65</v>
      </c>
      <c r="T59" s="120">
        <f t="shared" si="50"/>
        <v>187.51687500000003</v>
      </c>
      <c r="U59" s="67">
        <f t="shared" ref="U59:U60" si="53">SUM($O$1)</f>
        <v>375</v>
      </c>
      <c r="V59" s="149"/>
    </row>
    <row r="60" spans="1:22" ht="54" customHeight="1">
      <c r="A60" s="149"/>
      <c r="B60" s="155"/>
      <c r="C60" s="211"/>
      <c r="D60" s="159"/>
      <c r="E60" s="161"/>
      <c r="F60" s="128"/>
      <c r="G60" s="128"/>
      <c r="H60" s="128"/>
      <c r="I60" s="128"/>
      <c r="J60" s="128"/>
      <c r="K60" s="128"/>
      <c r="L60" s="71"/>
      <c r="M60" s="72"/>
      <c r="N60" s="73"/>
      <c r="O60" s="67"/>
      <c r="P60" s="67"/>
      <c r="Q60" s="67"/>
      <c r="R60" s="113">
        <f t="shared" si="51"/>
        <v>0</v>
      </c>
      <c r="S60" s="68">
        <f t="shared" si="52"/>
        <v>0.65</v>
      </c>
      <c r="T60" s="120">
        <f t="shared" si="50"/>
        <v>0</v>
      </c>
      <c r="U60" s="67">
        <f t="shared" si="53"/>
        <v>375</v>
      </c>
      <c r="V60" s="149"/>
    </row>
    <row r="61" spans="1:22" ht="54" customHeight="1" thickBot="1">
      <c r="A61" s="149"/>
      <c r="B61" s="155"/>
      <c r="C61" s="211"/>
      <c r="D61" s="159"/>
      <c r="E61" s="161"/>
      <c r="F61" s="128"/>
      <c r="G61" s="128"/>
      <c r="H61" s="128"/>
      <c r="I61" s="128"/>
      <c r="J61" s="128"/>
      <c r="K61" s="128"/>
      <c r="L61" s="71"/>
      <c r="M61" s="72"/>
      <c r="N61" s="73"/>
      <c r="O61" s="75"/>
      <c r="P61" s="67"/>
      <c r="Q61" s="75"/>
      <c r="R61" s="114"/>
      <c r="S61" s="83"/>
      <c r="T61" s="121"/>
      <c r="U61" s="103"/>
      <c r="V61" s="149"/>
    </row>
    <row r="62" spans="1:22" ht="54" customHeight="1">
      <c r="A62" s="149"/>
      <c r="B62" s="155"/>
      <c r="C62" s="211"/>
      <c r="D62" s="159"/>
      <c r="E62" s="161"/>
      <c r="F62" s="137"/>
      <c r="G62" s="137"/>
      <c r="H62" s="137"/>
      <c r="I62" s="137"/>
      <c r="J62" s="137"/>
      <c r="K62" s="137"/>
      <c r="L62" s="133"/>
      <c r="M62" s="134"/>
      <c r="N62" s="140" t="s">
        <v>142</v>
      </c>
      <c r="O62" s="137"/>
      <c r="P62" s="137"/>
      <c r="Q62" s="137"/>
      <c r="R62" s="113">
        <f t="shared" ref="R62" si="54">SUM(O62*P62*Q62*7.85/1000000)</f>
        <v>0</v>
      </c>
      <c r="S62" s="68">
        <f t="shared" ref="S62" si="55">SUM($O$2)</f>
        <v>0.65</v>
      </c>
      <c r="T62" s="120">
        <f t="shared" ref="T62" si="56">SUM(R62*S62)</f>
        <v>0</v>
      </c>
      <c r="U62" s="67">
        <f t="shared" ref="U62" si="57">SUM($O$1)</f>
        <v>375</v>
      </c>
      <c r="V62" s="149"/>
    </row>
    <row r="63" spans="1:22" ht="54" customHeight="1" thickBot="1">
      <c r="A63" s="149"/>
      <c r="B63" s="156"/>
      <c r="C63" s="212"/>
      <c r="D63" s="160"/>
      <c r="E63" s="162"/>
      <c r="F63" s="137"/>
      <c r="G63" s="137"/>
      <c r="H63" s="137"/>
      <c r="I63" s="137"/>
      <c r="J63" s="137"/>
      <c r="K63" s="137"/>
      <c r="L63" s="79"/>
      <c r="M63" s="80"/>
      <c r="N63" s="81" t="s">
        <v>37</v>
      </c>
      <c r="O63" s="82"/>
      <c r="P63" s="82"/>
      <c r="Q63" s="82"/>
      <c r="R63" s="61"/>
      <c r="S63" s="62"/>
      <c r="T63" s="102"/>
      <c r="U63" s="102"/>
      <c r="V63" s="149"/>
    </row>
    <row r="64" spans="1:22" ht="54" customHeight="1">
      <c r="A64" s="149"/>
      <c r="B64" s="154">
        <v>9</v>
      </c>
      <c r="C64" s="211" t="s">
        <v>80</v>
      </c>
      <c r="D64" s="159" t="s">
        <v>81</v>
      </c>
      <c r="E64" s="161"/>
      <c r="F64" s="75">
        <v>128</v>
      </c>
      <c r="G64" s="75">
        <v>0</v>
      </c>
      <c r="H64" s="75">
        <v>20</v>
      </c>
      <c r="I64" s="75">
        <v>128</v>
      </c>
      <c r="J64" s="75">
        <v>0</v>
      </c>
      <c r="K64" s="75">
        <v>1.6</v>
      </c>
      <c r="L64" s="64" t="s">
        <v>43</v>
      </c>
      <c r="M64" s="65" t="s">
        <v>15</v>
      </c>
      <c r="N64" s="66"/>
      <c r="O64" s="67"/>
      <c r="P64" s="67"/>
      <c r="Q64" s="67"/>
      <c r="R64" s="113">
        <f>SUM(O64*P64*Q64*7.85/1000000)</f>
        <v>0</v>
      </c>
      <c r="S64" s="68">
        <f>SUM($O$2)</f>
        <v>0.65</v>
      </c>
      <c r="T64" s="120">
        <f t="shared" ref="T64:T66" si="58">SUM(R64*S64)</f>
        <v>0</v>
      </c>
      <c r="U64" s="67">
        <f>SUM($O$1)</f>
        <v>375</v>
      </c>
      <c r="V64" s="149"/>
    </row>
    <row r="65" spans="1:22" ht="54" customHeight="1">
      <c r="A65" s="149"/>
      <c r="B65" s="155"/>
      <c r="C65" s="211"/>
      <c r="D65" s="159"/>
      <c r="E65" s="161"/>
      <c r="F65" s="128"/>
      <c r="G65" s="128"/>
      <c r="H65" s="128"/>
      <c r="I65" s="128"/>
      <c r="J65" s="128"/>
      <c r="K65" s="128"/>
      <c r="L65" s="71"/>
      <c r="M65" s="72"/>
      <c r="N65" s="73"/>
      <c r="O65" s="67"/>
      <c r="P65" s="67"/>
      <c r="Q65" s="67"/>
      <c r="R65" s="113">
        <f t="shared" ref="R65:R66" si="59">SUM(O65*P65*Q65*7.85/1000000)</f>
        <v>0</v>
      </c>
      <c r="S65" s="68">
        <f t="shared" ref="S65:S66" si="60">SUM($O$2)</f>
        <v>0.65</v>
      </c>
      <c r="T65" s="120">
        <f t="shared" si="58"/>
        <v>0</v>
      </c>
      <c r="U65" s="67">
        <f t="shared" ref="U65:U66" si="61">SUM($O$1)</f>
        <v>375</v>
      </c>
      <c r="V65" s="149"/>
    </row>
    <row r="66" spans="1:22" ht="54" customHeight="1">
      <c r="A66" s="149"/>
      <c r="B66" s="155"/>
      <c r="C66" s="211"/>
      <c r="D66" s="159"/>
      <c r="E66" s="161"/>
      <c r="F66" s="128"/>
      <c r="G66" s="128"/>
      <c r="H66" s="128"/>
      <c r="I66" s="128"/>
      <c r="J66" s="128"/>
      <c r="K66" s="128"/>
      <c r="L66" s="71"/>
      <c r="M66" s="72"/>
      <c r="N66" s="73"/>
      <c r="O66" s="67"/>
      <c r="P66" s="67"/>
      <c r="Q66" s="67"/>
      <c r="R66" s="113">
        <f t="shared" si="59"/>
        <v>0</v>
      </c>
      <c r="S66" s="68">
        <f t="shared" si="60"/>
        <v>0.65</v>
      </c>
      <c r="T66" s="120">
        <f t="shared" si="58"/>
        <v>0</v>
      </c>
      <c r="U66" s="67">
        <f t="shared" si="61"/>
        <v>375</v>
      </c>
      <c r="V66" s="149"/>
    </row>
    <row r="67" spans="1:22" ht="54" customHeight="1" thickBot="1">
      <c r="A67" s="149"/>
      <c r="B67" s="155"/>
      <c r="C67" s="211"/>
      <c r="D67" s="159"/>
      <c r="E67" s="161"/>
      <c r="F67" s="128"/>
      <c r="G67" s="128"/>
      <c r="H67" s="128"/>
      <c r="I67" s="128"/>
      <c r="J67" s="128"/>
      <c r="K67" s="128"/>
      <c r="L67" s="71"/>
      <c r="M67" s="72"/>
      <c r="N67" s="73"/>
      <c r="O67" s="75"/>
      <c r="P67" s="75"/>
      <c r="Q67" s="75"/>
      <c r="R67" s="114"/>
      <c r="S67" s="83"/>
      <c r="T67" s="121"/>
      <c r="U67" s="103"/>
      <c r="V67" s="149"/>
    </row>
    <row r="68" spans="1:22" ht="54" customHeight="1">
      <c r="A68" s="149"/>
      <c r="B68" s="155"/>
      <c r="C68" s="211"/>
      <c r="D68" s="159"/>
      <c r="E68" s="161"/>
      <c r="F68" s="137"/>
      <c r="G68" s="137"/>
      <c r="H68" s="137"/>
      <c r="I68" s="137"/>
      <c r="J68" s="137"/>
      <c r="K68" s="137"/>
      <c r="L68" s="133"/>
      <c r="M68" s="134"/>
      <c r="N68" s="140" t="s">
        <v>142</v>
      </c>
      <c r="O68" s="137"/>
      <c r="P68" s="137"/>
      <c r="Q68" s="137"/>
      <c r="R68" s="113">
        <f t="shared" ref="R68" si="62">SUM(O68*P68*Q68*7.85/1000000)</f>
        <v>0</v>
      </c>
      <c r="S68" s="68">
        <f t="shared" ref="S68" si="63">SUM($O$2)</f>
        <v>0.65</v>
      </c>
      <c r="T68" s="120">
        <f t="shared" ref="T68" si="64">SUM(R68*S68)</f>
        <v>0</v>
      </c>
      <c r="U68" s="67">
        <f t="shared" ref="U68" si="65">SUM($O$1)</f>
        <v>375</v>
      </c>
      <c r="V68" s="149"/>
    </row>
    <row r="69" spans="1:22" ht="54" customHeight="1" thickBot="1">
      <c r="A69" s="149"/>
      <c r="B69" s="156"/>
      <c r="C69" s="212"/>
      <c r="D69" s="160"/>
      <c r="E69" s="162"/>
      <c r="F69" s="137"/>
      <c r="G69" s="137"/>
      <c r="H69" s="137"/>
      <c r="I69" s="137"/>
      <c r="J69" s="137"/>
      <c r="K69" s="137"/>
      <c r="L69" s="79"/>
      <c r="M69" s="80"/>
      <c r="N69" s="81" t="s">
        <v>37</v>
      </c>
      <c r="O69" s="82"/>
      <c r="P69" s="82"/>
      <c r="Q69" s="82"/>
      <c r="R69" s="61"/>
      <c r="S69" s="62"/>
      <c r="T69" s="102"/>
      <c r="U69" s="102"/>
      <c r="V69" s="149"/>
    </row>
    <row r="70" spans="1:22" ht="54" customHeight="1">
      <c r="A70" s="149"/>
      <c r="B70" s="154">
        <v>10</v>
      </c>
      <c r="C70" s="211" t="s">
        <v>82</v>
      </c>
      <c r="D70" s="159" t="s">
        <v>83</v>
      </c>
      <c r="E70" s="161"/>
      <c r="F70" s="75">
        <v>34</v>
      </c>
      <c r="G70" s="75">
        <v>30</v>
      </c>
      <c r="H70" s="75">
        <v>15</v>
      </c>
      <c r="I70" s="75">
        <v>34</v>
      </c>
      <c r="J70" s="75">
        <v>50</v>
      </c>
      <c r="K70" s="75">
        <v>3</v>
      </c>
      <c r="L70" s="64" t="s">
        <v>43</v>
      </c>
      <c r="M70" s="65" t="s">
        <v>15</v>
      </c>
      <c r="N70" s="48" t="s">
        <v>128</v>
      </c>
      <c r="O70" s="67">
        <v>400</v>
      </c>
      <c r="P70" s="67">
        <v>350</v>
      </c>
      <c r="Q70" s="67">
        <v>350</v>
      </c>
      <c r="R70" s="113">
        <f>SUM(O70*P70*Q70*7.85/1000000)</f>
        <v>384.65</v>
      </c>
      <c r="S70" s="68">
        <f>SUM($O$2)</f>
        <v>0.65</v>
      </c>
      <c r="T70" s="120">
        <f t="shared" ref="T70:T72" si="66">SUM(R70*S70)</f>
        <v>250.02250000000001</v>
      </c>
      <c r="U70" s="67">
        <f>SUM($O$1)</f>
        <v>375</v>
      </c>
      <c r="V70" s="149"/>
    </row>
    <row r="71" spans="1:22" ht="54" customHeight="1">
      <c r="A71" s="149"/>
      <c r="B71" s="155"/>
      <c r="C71" s="211"/>
      <c r="D71" s="159"/>
      <c r="E71" s="161"/>
      <c r="F71" s="128"/>
      <c r="G71" s="128"/>
      <c r="H71" s="128"/>
      <c r="I71" s="128"/>
      <c r="J71" s="128"/>
      <c r="K71" s="128"/>
      <c r="L71" s="71"/>
      <c r="M71" s="72" t="s">
        <v>98</v>
      </c>
      <c r="N71" s="73" t="s">
        <v>129</v>
      </c>
      <c r="O71" s="67">
        <v>350</v>
      </c>
      <c r="P71" s="67">
        <v>300</v>
      </c>
      <c r="Q71" s="67">
        <v>350</v>
      </c>
      <c r="R71" s="113">
        <f t="shared" ref="R71:R72" si="67">SUM(O71*P71*Q71*7.85/1000000)</f>
        <v>288.48750000000001</v>
      </c>
      <c r="S71" s="68">
        <f t="shared" ref="S71:S72" si="68">SUM($O$2)</f>
        <v>0.65</v>
      </c>
      <c r="T71" s="120">
        <f t="shared" si="66"/>
        <v>187.51687500000003</v>
      </c>
      <c r="U71" s="67">
        <f t="shared" ref="U71:U72" si="69">SUM($O$1)</f>
        <v>375</v>
      </c>
      <c r="V71" s="149"/>
    </row>
    <row r="72" spans="1:22" ht="54" customHeight="1">
      <c r="A72" s="149"/>
      <c r="B72" s="155"/>
      <c r="C72" s="211"/>
      <c r="D72" s="159"/>
      <c r="E72" s="161"/>
      <c r="F72" s="128"/>
      <c r="G72" s="128"/>
      <c r="H72" s="128"/>
      <c r="I72" s="128"/>
      <c r="J72" s="128"/>
      <c r="K72" s="128"/>
      <c r="L72" s="71"/>
      <c r="M72" s="72"/>
      <c r="N72" s="73"/>
      <c r="O72" s="67"/>
      <c r="P72" s="67"/>
      <c r="Q72" s="67"/>
      <c r="R72" s="113">
        <f t="shared" si="67"/>
        <v>0</v>
      </c>
      <c r="S72" s="68">
        <f t="shared" si="68"/>
        <v>0.65</v>
      </c>
      <c r="T72" s="120">
        <f t="shared" si="66"/>
        <v>0</v>
      </c>
      <c r="U72" s="67">
        <f t="shared" si="69"/>
        <v>375</v>
      </c>
      <c r="V72" s="149"/>
    </row>
    <row r="73" spans="1:22" ht="54" customHeight="1" thickBot="1">
      <c r="A73" s="149"/>
      <c r="B73" s="155"/>
      <c r="C73" s="211"/>
      <c r="D73" s="159"/>
      <c r="E73" s="161"/>
      <c r="F73" s="128"/>
      <c r="G73" s="128"/>
      <c r="H73" s="128"/>
      <c r="I73" s="128"/>
      <c r="J73" s="128"/>
      <c r="K73" s="128"/>
      <c r="L73" s="71"/>
      <c r="M73" s="72"/>
      <c r="N73" s="73"/>
      <c r="O73" s="67"/>
      <c r="P73" s="67"/>
      <c r="Q73" s="67"/>
      <c r="R73" s="114"/>
      <c r="S73" s="83"/>
      <c r="T73" s="121"/>
      <c r="U73" s="103"/>
      <c r="V73" s="149"/>
    </row>
    <row r="74" spans="1:22" ht="54" customHeight="1">
      <c r="A74" s="149"/>
      <c r="B74" s="155"/>
      <c r="C74" s="211"/>
      <c r="D74" s="159"/>
      <c r="E74" s="161"/>
      <c r="F74" s="137"/>
      <c r="G74" s="137"/>
      <c r="H74" s="137"/>
      <c r="I74" s="137"/>
      <c r="J74" s="137"/>
      <c r="K74" s="137"/>
      <c r="L74" s="133"/>
      <c r="M74" s="134"/>
      <c r="N74" s="140" t="s">
        <v>142</v>
      </c>
      <c r="O74" s="137"/>
      <c r="P74" s="137"/>
      <c r="Q74" s="137"/>
      <c r="R74" s="113">
        <f t="shared" ref="R74" si="70">SUM(O74*P74*Q74*7.85/1000000)</f>
        <v>0</v>
      </c>
      <c r="S74" s="68">
        <f t="shared" ref="S74" si="71">SUM($O$2)</f>
        <v>0.65</v>
      </c>
      <c r="T74" s="120">
        <f t="shared" ref="T74" si="72">SUM(R74*S74)</f>
        <v>0</v>
      </c>
      <c r="U74" s="67">
        <f t="shared" ref="U74" si="73">SUM($O$1)</f>
        <v>375</v>
      </c>
      <c r="V74" s="149"/>
    </row>
    <row r="75" spans="1:22" ht="54" customHeight="1" thickBot="1">
      <c r="A75" s="149"/>
      <c r="B75" s="156"/>
      <c r="C75" s="212"/>
      <c r="D75" s="160"/>
      <c r="E75" s="162"/>
      <c r="F75" s="137"/>
      <c r="G75" s="137"/>
      <c r="H75" s="137"/>
      <c r="I75" s="137"/>
      <c r="J75" s="137"/>
      <c r="K75" s="137"/>
      <c r="L75" s="79"/>
      <c r="M75" s="80"/>
      <c r="N75" s="81" t="s">
        <v>37</v>
      </c>
      <c r="O75" s="82"/>
      <c r="P75" s="82"/>
      <c r="Q75" s="82"/>
      <c r="R75" s="61"/>
      <c r="S75" s="62"/>
      <c r="T75" s="102"/>
      <c r="U75" s="102"/>
      <c r="V75" s="149"/>
    </row>
    <row r="76" spans="1:22" ht="54" customHeight="1">
      <c r="A76" s="149"/>
      <c r="B76" s="154">
        <v>11</v>
      </c>
      <c r="C76" s="211" t="s">
        <v>84</v>
      </c>
      <c r="D76" s="159" t="s">
        <v>85</v>
      </c>
      <c r="E76" s="161"/>
      <c r="F76" s="75">
        <v>310</v>
      </c>
      <c r="G76" s="75">
        <v>304</v>
      </c>
      <c r="H76" s="75">
        <v>22</v>
      </c>
      <c r="I76" s="75">
        <v>329</v>
      </c>
      <c r="J76" s="75">
        <v>310</v>
      </c>
      <c r="K76" s="75">
        <v>4</v>
      </c>
      <c r="L76" s="64" t="s">
        <v>43</v>
      </c>
      <c r="M76" s="65" t="s">
        <v>15</v>
      </c>
      <c r="N76" s="66" t="s">
        <v>130</v>
      </c>
      <c r="O76" s="67">
        <v>800</v>
      </c>
      <c r="P76" s="67">
        <v>700</v>
      </c>
      <c r="Q76" s="67">
        <v>450</v>
      </c>
      <c r="R76" s="113">
        <f>SUM(O76*P76*Q76*7.85/1000000)</f>
        <v>1978.2</v>
      </c>
      <c r="S76" s="68">
        <f>SUM($O$2)</f>
        <v>0.65</v>
      </c>
      <c r="T76" s="120">
        <f t="shared" ref="T76:T78" si="74">SUM(R76*S76)</f>
        <v>1285.8300000000002</v>
      </c>
      <c r="U76" s="67">
        <f>SUM($O$1)</f>
        <v>375</v>
      </c>
      <c r="V76" s="149"/>
    </row>
    <row r="77" spans="1:22" ht="54" customHeight="1">
      <c r="A77" s="149"/>
      <c r="B77" s="155"/>
      <c r="C77" s="211"/>
      <c r="D77" s="159"/>
      <c r="E77" s="161"/>
      <c r="F77" s="128"/>
      <c r="G77" s="128"/>
      <c r="H77" s="128"/>
      <c r="I77" s="128"/>
      <c r="J77" s="128"/>
      <c r="K77" s="128"/>
      <c r="L77" s="71"/>
      <c r="M77" s="72" t="s">
        <v>98</v>
      </c>
      <c r="N77" s="73" t="s">
        <v>129</v>
      </c>
      <c r="O77" s="67">
        <v>750</v>
      </c>
      <c r="P77" s="67">
        <v>650</v>
      </c>
      <c r="Q77" s="67">
        <v>400</v>
      </c>
      <c r="R77" s="113">
        <f t="shared" ref="R77:R78" si="75">SUM(O77*P77*Q77*7.85/1000000)</f>
        <v>1530.75</v>
      </c>
      <c r="S77" s="68">
        <f t="shared" ref="S77:S78" si="76">SUM($O$2)</f>
        <v>0.65</v>
      </c>
      <c r="T77" s="120">
        <f t="shared" si="74"/>
        <v>994.98750000000007</v>
      </c>
      <c r="U77" s="67">
        <f t="shared" ref="U77:U78" si="77">SUM($O$1)</f>
        <v>375</v>
      </c>
      <c r="V77" s="149"/>
    </row>
    <row r="78" spans="1:22" ht="54" customHeight="1">
      <c r="A78" s="149"/>
      <c r="B78" s="155"/>
      <c r="C78" s="211"/>
      <c r="D78" s="159"/>
      <c r="E78" s="161"/>
      <c r="F78" s="128"/>
      <c r="G78" s="128"/>
      <c r="H78" s="128"/>
      <c r="I78" s="128"/>
      <c r="J78" s="128"/>
      <c r="K78" s="128"/>
      <c r="L78" s="71"/>
      <c r="M78" s="65" t="s">
        <v>131</v>
      </c>
      <c r="N78" s="73" t="s">
        <v>138</v>
      </c>
      <c r="O78" s="75">
        <v>700</v>
      </c>
      <c r="P78" s="75">
        <v>600</v>
      </c>
      <c r="Q78" s="75">
        <v>350</v>
      </c>
      <c r="R78" s="113">
        <f t="shared" si="75"/>
        <v>1153.95</v>
      </c>
      <c r="S78" s="68">
        <f t="shared" si="76"/>
        <v>0.65</v>
      </c>
      <c r="T78" s="120">
        <f t="shared" si="74"/>
        <v>750.06750000000011</v>
      </c>
      <c r="U78" s="67">
        <f t="shared" si="77"/>
        <v>375</v>
      </c>
      <c r="V78" s="149"/>
    </row>
    <row r="79" spans="1:22" ht="54" customHeight="1" thickBot="1">
      <c r="A79" s="149"/>
      <c r="B79" s="155"/>
      <c r="C79" s="211"/>
      <c r="D79" s="159"/>
      <c r="E79" s="161"/>
      <c r="F79" s="128"/>
      <c r="G79" s="128"/>
      <c r="H79" s="128"/>
      <c r="I79" s="128"/>
      <c r="J79" s="128"/>
      <c r="K79" s="128"/>
      <c r="L79" s="71"/>
      <c r="M79" s="72"/>
      <c r="N79" s="73"/>
      <c r="O79" s="75"/>
      <c r="P79" s="75"/>
      <c r="Q79" s="75"/>
      <c r="R79" s="114"/>
      <c r="S79" s="83"/>
      <c r="T79" s="121"/>
      <c r="U79" s="103"/>
      <c r="V79" s="149"/>
    </row>
    <row r="80" spans="1:22" ht="54" customHeight="1">
      <c r="A80" s="149"/>
      <c r="B80" s="155"/>
      <c r="C80" s="211"/>
      <c r="D80" s="159"/>
      <c r="E80" s="161"/>
      <c r="F80" s="128"/>
      <c r="G80" s="128"/>
      <c r="H80" s="128"/>
      <c r="I80" s="128"/>
      <c r="J80" s="128"/>
      <c r="K80" s="128"/>
      <c r="L80" s="133"/>
      <c r="M80" s="134"/>
      <c r="N80" s="140" t="s">
        <v>142</v>
      </c>
      <c r="O80" s="137"/>
      <c r="P80" s="137"/>
      <c r="Q80" s="137"/>
      <c r="R80" s="113">
        <f t="shared" ref="R80" si="78">SUM(O80*P80*Q80*7.85/1000000)</f>
        <v>0</v>
      </c>
      <c r="S80" s="68">
        <f t="shared" ref="S80" si="79">SUM($O$2)</f>
        <v>0.65</v>
      </c>
      <c r="T80" s="120">
        <f t="shared" ref="T80" si="80">SUM(R80*S80)</f>
        <v>0</v>
      </c>
      <c r="U80" s="67">
        <f t="shared" ref="U80" si="81">SUM($O$1)</f>
        <v>375</v>
      </c>
      <c r="V80" s="149"/>
    </row>
    <row r="81" spans="1:22" ht="54" customHeight="1" thickBot="1">
      <c r="A81" s="149"/>
      <c r="B81" s="156"/>
      <c r="C81" s="212"/>
      <c r="D81" s="160"/>
      <c r="E81" s="162"/>
      <c r="F81" s="128"/>
      <c r="G81" s="128"/>
      <c r="H81" s="128"/>
      <c r="I81" s="128"/>
      <c r="J81" s="128"/>
      <c r="K81" s="128"/>
      <c r="L81" s="79"/>
      <c r="M81" s="80"/>
      <c r="N81" s="81" t="s">
        <v>37</v>
      </c>
      <c r="O81" s="82"/>
      <c r="P81" s="82"/>
      <c r="Q81" s="82"/>
      <c r="R81" s="61"/>
      <c r="S81" s="62"/>
      <c r="T81" s="102"/>
      <c r="U81" s="102"/>
      <c r="V81" s="149"/>
    </row>
    <row r="82" spans="1:22" ht="54" customHeight="1" thickBot="1">
      <c r="A82" s="14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77" t="s">
        <v>48</v>
      </c>
      <c r="O82" s="178"/>
      <c r="P82" s="178"/>
      <c r="Q82" s="178"/>
      <c r="R82" s="178"/>
      <c r="S82" s="178"/>
      <c r="T82" s="178"/>
      <c r="U82" s="178"/>
      <c r="V82" s="149"/>
    </row>
    <row r="83" spans="1:22" ht="54" customHeight="1">
      <c r="A83" s="149"/>
      <c r="B83" s="169" t="s">
        <v>22</v>
      </c>
      <c r="C83" s="169"/>
      <c r="D83" s="169"/>
      <c r="E83" s="169"/>
      <c r="F83" s="28"/>
      <c r="G83" s="2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49"/>
    </row>
    <row r="84" spans="1:22" ht="54" customHeight="1">
      <c r="A84" s="149"/>
      <c r="B84" s="28">
        <v>1</v>
      </c>
      <c r="C84" s="169" t="s">
        <v>23</v>
      </c>
      <c r="D84" s="169"/>
      <c r="E84" s="169"/>
      <c r="F84" s="169"/>
      <c r="G84" s="169"/>
      <c r="H84" s="169"/>
      <c r="I84" s="169"/>
      <c r="J84" s="169"/>
      <c r="K84" s="169"/>
      <c r="L84" s="7"/>
      <c r="M84" s="7"/>
      <c r="N84" s="7"/>
      <c r="O84" s="7"/>
      <c r="P84" s="7"/>
      <c r="Q84" s="7"/>
      <c r="R84" s="7"/>
      <c r="S84" s="7"/>
      <c r="T84" s="7"/>
      <c r="U84" s="7"/>
      <c r="V84" s="149"/>
    </row>
    <row r="85" spans="1:22" ht="54" customHeight="1">
      <c r="A85" s="149"/>
      <c r="B85" s="28">
        <v>2</v>
      </c>
      <c r="C85" s="169" t="s">
        <v>24</v>
      </c>
      <c r="D85" s="169"/>
      <c r="E85" s="169"/>
      <c r="F85" s="169"/>
      <c r="G85" s="169"/>
      <c r="H85" s="169"/>
      <c r="I85" s="169"/>
      <c r="J85" s="16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149"/>
    </row>
    <row r="86" spans="1:22" ht="54" customHeight="1">
      <c r="A86" s="149"/>
      <c r="B86" s="28">
        <v>3</v>
      </c>
      <c r="C86" s="169" t="s">
        <v>39</v>
      </c>
      <c r="D86" s="169"/>
      <c r="E86" s="169"/>
      <c r="F86" s="169"/>
      <c r="G86" s="169"/>
      <c r="H86" s="169"/>
      <c r="I86" s="169"/>
      <c r="J86" s="169"/>
      <c r="K86" s="169"/>
      <c r="L86" s="169"/>
      <c r="M86" s="7"/>
      <c r="N86" s="7"/>
      <c r="O86" s="7"/>
      <c r="P86" s="7"/>
      <c r="Q86" s="7"/>
      <c r="R86" s="7"/>
      <c r="S86" s="7"/>
      <c r="T86" s="7"/>
      <c r="U86" s="7"/>
      <c r="V86" s="149"/>
    </row>
    <row r="87" spans="1:22" ht="54" customHeight="1">
      <c r="A87" s="149"/>
      <c r="B87" s="28">
        <v>4</v>
      </c>
      <c r="C87" s="169" t="s">
        <v>40</v>
      </c>
      <c r="D87" s="169"/>
      <c r="E87" s="169"/>
      <c r="F87" s="169"/>
      <c r="G87" s="169"/>
      <c r="H87" s="169"/>
      <c r="I87" s="169"/>
      <c r="J87" s="169"/>
      <c r="K87" s="169"/>
      <c r="L87" s="169"/>
      <c r="M87" s="7"/>
      <c r="N87" s="7"/>
      <c r="O87" s="7"/>
      <c r="P87" s="7"/>
      <c r="Q87" s="7"/>
      <c r="R87" s="7"/>
      <c r="S87" s="7"/>
      <c r="T87" s="7"/>
      <c r="U87" s="7"/>
      <c r="V87" s="149"/>
    </row>
    <row r="88" spans="1:22" ht="54" customHeight="1">
      <c r="A88" s="149"/>
      <c r="B88" s="28">
        <v>5</v>
      </c>
      <c r="C88" s="169" t="s">
        <v>25</v>
      </c>
      <c r="D88" s="169"/>
      <c r="E88" s="169"/>
      <c r="F88" s="169"/>
      <c r="G88" s="169"/>
      <c r="H88" s="169"/>
      <c r="I88" s="169"/>
      <c r="J88" s="169"/>
      <c r="K88" s="169"/>
      <c r="L88" s="7"/>
      <c r="M88" s="7"/>
      <c r="N88" s="7"/>
      <c r="O88" s="7"/>
      <c r="P88" s="7"/>
      <c r="Q88" s="7"/>
      <c r="R88" s="7"/>
      <c r="S88" s="7"/>
      <c r="T88" s="7"/>
      <c r="U88" s="7"/>
      <c r="V88" s="149"/>
    </row>
    <row r="89" spans="1:22" ht="54" customHeight="1">
      <c r="A89" s="149"/>
      <c r="B89" s="28">
        <v>6</v>
      </c>
      <c r="C89" s="169" t="s">
        <v>26</v>
      </c>
      <c r="D89" s="169"/>
      <c r="E89" s="169"/>
      <c r="F89" s="169"/>
      <c r="G89" s="169"/>
      <c r="H89" s="169"/>
      <c r="I89" s="169"/>
      <c r="J89" s="169"/>
      <c r="K89" s="169"/>
      <c r="L89" s="7"/>
      <c r="M89" s="7"/>
      <c r="N89" s="7"/>
      <c r="O89" s="7"/>
      <c r="P89" s="7"/>
      <c r="Q89" s="7"/>
      <c r="R89" s="7"/>
      <c r="S89" s="7"/>
      <c r="T89" s="7"/>
      <c r="U89" s="7"/>
      <c r="V89" s="149"/>
    </row>
    <row r="90" spans="1:22" ht="54" customHeight="1">
      <c r="A90" s="149"/>
      <c r="B90" s="28">
        <v>7</v>
      </c>
      <c r="C90" s="169" t="s">
        <v>27</v>
      </c>
      <c r="D90" s="169"/>
      <c r="E90" s="169"/>
      <c r="F90" s="169"/>
      <c r="G90" s="169"/>
      <c r="H90" s="169"/>
      <c r="I90" s="169"/>
      <c r="J90" s="169"/>
      <c r="K90" s="169"/>
      <c r="L90" s="7"/>
      <c r="M90" s="7"/>
      <c r="N90" s="7"/>
      <c r="O90" s="7"/>
      <c r="P90" s="7"/>
      <c r="Q90" s="7"/>
      <c r="R90" s="7"/>
      <c r="S90" s="7"/>
      <c r="T90" s="7"/>
      <c r="U90" s="7"/>
      <c r="V90" s="149"/>
    </row>
    <row r="91" spans="1:22" ht="54" customHeight="1">
      <c r="A91" s="149"/>
      <c r="B91" s="28">
        <v>8</v>
      </c>
      <c r="C91" s="169" t="s">
        <v>42</v>
      </c>
      <c r="D91" s="169"/>
      <c r="E91" s="169"/>
      <c r="F91" s="169"/>
      <c r="G91" s="169"/>
      <c r="H91" s="169"/>
      <c r="I91" s="169"/>
      <c r="J91" s="169"/>
      <c r="K91" s="169"/>
      <c r="L91" s="169"/>
      <c r="M91" s="7"/>
      <c r="N91" s="7"/>
      <c r="O91" s="7"/>
      <c r="P91" s="7"/>
      <c r="Q91" s="7"/>
      <c r="R91" s="7"/>
      <c r="S91" s="7"/>
      <c r="T91" s="7"/>
      <c r="U91" s="7"/>
      <c r="V91" s="149"/>
    </row>
    <row r="92" spans="1:22" ht="54" customHeight="1">
      <c r="A92" s="149"/>
      <c r="B92" s="166" t="s">
        <v>45</v>
      </c>
      <c r="C92" s="166"/>
      <c r="D92" s="166"/>
      <c r="E92" s="166"/>
      <c r="F92" s="8"/>
      <c r="G92" s="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149"/>
    </row>
    <row r="93" spans="1:22" ht="54" customHeight="1">
      <c r="A93" s="149"/>
      <c r="B93" s="27"/>
      <c r="C93" s="27"/>
      <c r="D93" s="8"/>
      <c r="E93" s="8"/>
      <c r="F93" s="8"/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149"/>
    </row>
    <row r="94" spans="1:22" ht="54" customHeight="1">
      <c r="A94" s="149"/>
      <c r="B94" s="15" t="s">
        <v>30</v>
      </c>
      <c r="C94" s="14"/>
      <c r="D94" s="14"/>
      <c r="E94" s="14"/>
      <c r="F94" s="14"/>
      <c r="G94" s="14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149"/>
    </row>
    <row r="95" spans="1:22" ht="54" customHeight="1">
      <c r="A95" s="149"/>
      <c r="B95" s="14" t="s">
        <v>31</v>
      </c>
      <c r="C95" s="11"/>
      <c r="D95" s="11" t="s">
        <v>49</v>
      </c>
      <c r="E95" s="11"/>
      <c r="F95" s="11"/>
      <c r="G95" s="11"/>
      <c r="H95" s="12"/>
      <c r="I95" s="12" t="s">
        <v>28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1"/>
      <c r="V95" s="149"/>
    </row>
    <row r="96" spans="1:22" ht="54" customHeight="1">
      <c r="A96" s="149"/>
      <c r="B96" s="14" t="s">
        <v>41</v>
      </c>
      <c r="C96" s="11"/>
      <c r="D96" s="11"/>
      <c r="E96" s="11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1"/>
      <c r="V96" s="149"/>
    </row>
    <row r="97" spans="1:22" ht="54" customHeight="1" thickBot="1">
      <c r="A97" s="149"/>
      <c r="B97" s="14" t="s">
        <v>29</v>
      </c>
      <c r="C97" s="11"/>
      <c r="D97" s="11"/>
      <c r="E97" s="11"/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1"/>
      <c r="V97" s="149"/>
    </row>
    <row r="98" spans="1:22" ht="54" customHeight="1" thickBot="1">
      <c r="A98" s="150"/>
      <c r="B98" s="151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0"/>
    </row>
  </sheetData>
  <mergeCells count="71">
    <mergeCell ref="B83:E83"/>
    <mergeCell ref="C84:K84"/>
    <mergeCell ref="C85:J85"/>
    <mergeCell ref="C86:L86"/>
    <mergeCell ref="C87:L87"/>
    <mergeCell ref="B4:U4"/>
    <mergeCell ref="B5:U5"/>
    <mergeCell ref="B6:U6"/>
    <mergeCell ref="B7:U7"/>
    <mergeCell ref="N82:U82"/>
    <mergeCell ref="C88:K88"/>
    <mergeCell ref="C89:K89"/>
    <mergeCell ref="C90:K90"/>
    <mergeCell ref="C91:L91"/>
    <mergeCell ref="B92:E92"/>
    <mergeCell ref="D40:D45"/>
    <mergeCell ref="E40:E45"/>
    <mergeCell ref="B34:B39"/>
    <mergeCell ref="C34:C39"/>
    <mergeCell ref="D34:D39"/>
    <mergeCell ref="E34:E39"/>
    <mergeCell ref="A4:A98"/>
    <mergeCell ref="B16:B21"/>
    <mergeCell ref="C16:C21"/>
    <mergeCell ref="D16:D21"/>
    <mergeCell ref="E16:E21"/>
    <mergeCell ref="B14:B15"/>
    <mergeCell ref="B28:B33"/>
    <mergeCell ref="C28:C33"/>
    <mergeCell ref="D28:D33"/>
    <mergeCell ref="E28:E33"/>
    <mergeCell ref="B22:B27"/>
    <mergeCell ref="C22:C27"/>
    <mergeCell ref="D22:D27"/>
    <mergeCell ref="E22:E27"/>
    <mergeCell ref="B40:B45"/>
    <mergeCell ref="C40:C45"/>
    <mergeCell ref="F14:H14"/>
    <mergeCell ref="I14:K14"/>
    <mergeCell ref="O14:Q14"/>
    <mergeCell ref="B12:C13"/>
    <mergeCell ref="S8:U8"/>
    <mergeCell ref="S9:U9"/>
    <mergeCell ref="S10:U10"/>
    <mergeCell ref="S11:U11"/>
    <mergeCell ref="D64:D69"/>
    <mergeCell ref="E64:E69"/>
    <mergeCell ref="B46:B51"/>
    <mergeCell ref="C46:C51"/>
    <mergeCell ref="D46:D51"/>
    <mergeCell ref="E46:E51"/>
    <mergeCell ref="B52:B57"/>
    <mergeCell ref="C52:C57"/>
    <mergeCell ref="D52:D57"/>
    <mergeCell ref="E52:E57"/>
    <mergeCell ref="V4:V98"/>
    <mergeCell ref="B98:U98"/>
    <mergeCell ref="B70:B75"/>
    <mergeCell ref="C70:C75"/>
    <mergeCell ref="D70:D75"/>
    <mergeCell ref="E70:E75"/>
    <mergeCell ref="B76:B81"/>
    <mergeCell ref="C76:C81"/>
    <mergeCell ref="D76:D81"/>
    <mergeCell ref="E76:E81"/>
    <mergeCell ref="B58:B63"/>
    <mergeCell ref="C58:C63"/>
    <mergeCell ref="D58:D63"/>
    <mergeCell ref="E58:E63"/>
    <mergeCell ref="B64:B69"/>
    <mergeCell ref="C64:C69"/>
  </mergeCells>
  <phoneticPr fontId="27" type="noConversion"/>
  <pageMargins left="0.6" right="0.6" top="0.6" bottom="0.6" header="0.3" footer="0.3"/>
  <pageSetup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SUMMERY</vt:lpstr>
      <vt:lpstr>P1</vt:lpstr>
      <vt:lpstr>P2</vt:lpstr>
      <vt:lpstr>P3</vt:lpstr>
      <vt:lpstr>'P1'!Print_Area</vt:lpstr>
      <vt:lpstr>'P3'!Print_Area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2022-03-08T08:40:14Z</dcterms:modified>
</cp:coreProperties>
</file>